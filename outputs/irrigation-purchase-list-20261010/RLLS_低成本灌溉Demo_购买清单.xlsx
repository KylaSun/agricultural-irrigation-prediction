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bc61178f6940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采购清单" sheetId="1" r:id="Rbd29291f7b334453"/>
    <x:sheet xmlns:r="http://schemas.openxmlformats.org/officeDocument/2006/relationships" name="探头对比" sheetId="2" r:id="R675f11afa5384830"/>
    <x:sheet xmlns:r="http://schemas.openxmlformats.org/officeDocument/2006/relationships" name="接线与确认" sheetId="3" r:id="R81448efd2cca408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¥#,##0.00"/>
  </x:numFmts>
  <x:fonts count="10">
    <x:font>
      <x:sz val="11"/>
      <x:name val="Carlito"/>
    </x:font>
    <x:font>
      <x:b/>
      <x:sz val="16"/>
      <x:color rgb="FF17324D"/>
      <x:name val="Arial"/>
    </x:font>
    <x:font>
      <x:b/>
      <x:sz val="10"/>
      <x:color rgb="FF17324D"/>
      <x:name val="Arial"/>
    </x:font>
    <x:font>
      <x:b/>
      <x:sz val="10"/>
      <x:color rgb="FF1F2933"/>
      <x:name val="Arial"/>
    </x:font>
    <x:font>
      <x:i/>
      <x:sz val="10"/>
      <x:color rgb="FF566573"/>
      <x:name val="Arial"/>
    </x:font>
    <x:font>
      <x:b/>
      <x:sz val="12"/>
      <x:color rgb="FF17324D"/>
      <x:name val="Arial"/>
    </x:font>
    <x:font>
      <x:b/>
      <x:sz val="10"/>
      <x:color rgb="FFFFFFFF"/>
      <x:name val="Arial"/>
    </x:font>
    <x:font>
      <x:sz val="10"/>
      <x:color rgb="FF1F2933"/>
      <x:name val="Arial"/>
    </x:font>
    <x:font>
      <x:sz val="9"/>
      <x:color rgb="FF1155CC"/>
      <x:name val="Arial"/>
    </x:font>
    <x:font>
      <x:i/>
      <x:sz val="10"/>
      <x:color rgb="FF1F2933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FFF3CD"/>
      </x:patternFill>
    </x:fill>
    <x:fill>
      <x:patternFill patternType="solid">
        <x:fgColor rgb="FFF3F5F7"/>
      </x:patternFill>
    </x:fill>
    <x:fill>
      <x:patternFill patternType="solid">
        <x:fgColor rgb="FFE8F3EC"/>
      </x:patternFill>
    </x:fill>
    <x:fill>
      <x:patternFill patternType="solid">
        <x:fgColor rgb="FF17324D"/>
      </x:patternFill>
    </x:fill>
    <x:fill>
      <x:patternFill patternType="solid">
        <x:fgColor rgb="FFEAF2F8"/>
      </x:patternFill>
    </x:fill>
    <x:fill>
      <x:patternFill patternType="solid">
        <x:fgColor rgb="FFFCE8E6"/>
      </x:patternFill>
    </x:fill>
  </x:fills>
  <x:borders count="14">
    <x:border/>
    <x:border>
      <x:bottom style="thin">
        <x:color rgb="FF2F6690"/>
      </x:bottom>
    </x:border>
    <x:border>
      <x:left style="dashed">
        <x:color rgb="FFC69214"/>
      </x:left>
      <x:right style="dashed">
        <x:color rgb="FFC69214"/>
      </x:right>
      <x:top style="dashed">
        <x:color rgb="FFC69214"/>
      </x:top>
      <x:bottom style="dashed">
        <x:color rgb="FFC69214"/>
      </x:bottom>
    </x:border>
    <x:border>
      <x:left style="thin">
        <x:color rgb="FFD7DEE5"/>
      </x:left>
      <x:top style="thin">
        <x:color rgb="FFD7DEE5"/>
      </x:top>
    </x:border>
    <x:border>
      <x:top style="thin">
        <x:color rgb="FFD7DEE5"/>
      </x:top>
    </x:border>
    <x:border>
      <x:right style="thin">
        <x:color rgb="FFD7DEE5"/>
      </x:right>
      <x:top style="thin">
        <x:color rgb="FFD7DEE5"/>
      </x:top>
    </x:border>
    <x:border>
      <x:left style="thin">
        <x:color rgb="FFD7DEE5"/>
      </x:left>
      <x:bottom style="thin">
        <x:color rgb="FFD7DEE5"/>
      </x:bottom>
    </x:border>
    <x:border>
      <x:bottom style="thin">
        <x:color rgb="FFD7DEE5"/>
      </x:bottom>
    </x:border>
    <x:border>
      <x:right style="thin">
        <x:color rgb="FFD7DEE5"/>
      </x:right>
      <x:bottom style="thin">
        <x:color rgb="FFD7DEE5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top style="thin">
        <x:color rgb="FFD7DEE5"/>
      </x:top>
      <x:bottom style="thin">
        <x:color rgb="FFD7DEE5"/>
      </x:bottom>
    </x:border>
    <x:border>
      <x:left style="thin">
        <x:color rgb="FF2F6690"/>
      </x:left>
      <x:top style="thin">
        <x:color rgb="FF2F6690"/>
      </x:top>
      <x:bottom style="thin">
        <x:color rgb="FF2F6690"/>
      </x:bottom>
    </x:border>
    <x:border>
      <x:top style="thin">
        <x:color rgb="FF2F6690"/>
      </x:top>
      <x:bottom style="thin">
        <x:color rgb="FF2F6690"/>
      </x:bottom>
    </x:border>
    <x:border>
      <x:right style="thin">
        <x:color rgb="FF2F6690"/>
      </x:right>
      <x:top style="thin">
        <x:color rgb="FF2F6690"/>
      </x:top>
      <x:bottom style="thin">
        <x:color rgb="FF2F6690"/>
      </x:bottom>
    </x:border>
  </x:borders>
  <x:cellStyleXfs count="1">
    <x:xf numFmtId="0" fontId="0" fillId="0" borderId="0"/>
  </x:cellStyleXfs>
  <x:cellXfs count="97">
    <x:xf numFmtId="0" fontId="0" fillId="0" borderId="0" xfId="0"/>
    <x:xf numFmtId="0" fontId="1" fillId="0" borderId="0" xfId="0" applyNumberFormat="1" applyFont="1" applyFill="1" applyBorder="1"/>
    <x:xf numFmtId="0" fontId="0" fillId="0" borderId="1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2" xfId="0" applyNumberFormat="1" applyFont="1" applyFill="1" applyBorder="1"/>
    <x:xf numFmtId="0" fontId="4" fillId="0" borderId="0" xfId="0" applyNumberFormat="1" applyFont="1" applyFill="1" applyBorder="1"/>
    <x:xf numFmtId="0" fontId="0" fillId="3" borderId="0" xfId="0" applyNumberFormat="1" applyFont="1" applyFill="1" applyBorder="1"/>
    <x:xf numFmtId="0" fontId="0" fillId="4" borderId="0" xfId="0" applyNumberFormat="1" applyFont="1" applyFill="1" applyBorder="1"/>
    <x:xf numFmtId="0" fontId="0" fillId="4" borderId="3" xfId="0" applyNumberFormat="1" applyFont="1" applyFill="1" applyBorder="1"/>
    <x:xf numFmtId="0" fontId="0" fillId="4" borderId="4" xfId="0" applyNumberFormat="1" applyFont="1" applyFill="1" applyBorder="1"/>
    <x:xf numFmtId="0" fontId="0" fillId="4" borderId="5" xfId="0" applyNumberFormat="1" applyFont="1" applyFill="1" applyBorder="1"/>
    <x:xf numFmtId="0" fontId="0" fillId="3" borderId="6" xfId="0" applyNumberFormat="1" applyFont="1" applyFill="1" applyBorder="1"/>
    <x:xf numFmtId="0" fontId="0" fillId="3" borderId="7" xfId="0" applyNumberFormat="1" applyFont="1" applyFill="1" applyBorder="1"/>
    <x:xf numFmtId="0" fontId="0" fillId="3" borderId="8" xfId="0" applyNumberFormat="1" applyFont="1" applyFill="1" applyBorder="1"/>
    <x:xf numFmtId="0" fontId="2" fillId="4" borderId="3" xfId="0" applyNumberFormat="1" applyFont="1" applyFill="1" applyBorder="1"/>
    <x:xf numFmtId="0" fontId="2" fillId="3" borderId="6" xfId="0" applyNumberFormat="1" applyFont="1" applyFill="1" applyBorder="1"/>
    <x:xf numFmtId="0" fontId="2" fillId="4" borderId="4" xfId="0" applyNumberFormat="1" applyFont="1" applyFill="1" applyBorder="1"/>
    <x:xf numFmtId="200" fontId="0" fillId="4" borderId="4" xfId="0" applyNumberFormat="1" applyFont="1" applyFill="1" applyBorder="1"/>
    <x:xf numFmtId="200" fontId="5" fillId="4" borderId="4" xfId="0" applyNumberFormat="1" applyFont="1" applyFill="1" applyBorder="1"/>
    <x:xf numFmtId="0" fontId="0" fillId="3" borderId="7" xfId="0" applyNumberFormat="1" applyFont="1" applyFill="1" applyBorder="1" applyAlignment="1">
      <x:alignment horizontal="center"/>
    </x:xf>
    <x:xf numFmtId="0" fontId="0" fillId="3" borderId="8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horizontal="center"/>
    </x:xf>
    <x:xf numFmtId="0" fontId="6" fillId="5" borderId="0" xfId="0" applyNumberFormat="1" applyFont="1" applyFill="1" applyBorder="1" applyAlignment="1">
      <x:alignment horizontal="center" vertical="center"/>
    </x:xf>
    <x:xf numFmtId="0" fontId="6" fillId="5" borderId="0" xfId="0" applyNumberFormat="1" applyFont="1" applyFill="1" applyBorder="1" applyAlignment="1">
      <x:alignment horizontal="center" vertical="center" wrapText="1"/>
    </x:xf>
    <x:xf numFmtId="0" fontId="6" fillId="5" borderId="9" xfId="0" applyNumberFormat="1" applyFont="1" applyFill="1" applyBorder="1" applyAlignment="1">
      <x:alignment horizontal="center" vertical="center" wrapText="1"/>
    </x:xf>
    <x:xf numFmtId="200" fontId="0" fillId="2" borderId="0" xfId="0" applyNumberFormat="1" applyFont="1" applyFill="1" applyBorder="1"/>
    <x:xf numFmtId="200" fontId="0" fillId="0" borderId="0" xfId="0" applyNumberFormat="1" applyFont="1" applyFill="1" applyBorder="1"/>
    <x:xf numFmtId="0" fontId="3" fillId="5" borderId="9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/>
    <x:xf numFmtId="0" fontId="7" fillId="2" borderId="0" xfId="0" applyNumberFormat="1" applyFont="1" applyFill="1" applyBorder="1"/>
    <x:xf numFmtId="200" fontId="7" fillId="2" borderId="0" xfId="0" applyNumberFormat="1" applyFont="1" applyFill="1" applyBorder="1"/>
    <x:xf numFmtId="20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vertical="center"/>
    </x:xf>
    <x:xf numFmtId="0" fontId="7" fillId="2" borderId="0" xfId="0" applyNumberFormat="1" applyFont="1" applyFill="1" applyBorder="1" applyAlignment="1">
      <x:alignment vertical="center"/>
    </x:xf>
    <x:xf numFmtId="200" fontId="7" fillId="2" borderId="0" xfId="0" applyNumberFormat="1" applyFont="1" applyFill="1" applyBorder="1" applyAlignment="1">
      <x:alignment vertical="center"/>
    </x:xf>
    <x:xf numFmtId="200" fontId="7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 applyAlignment="1">
      <x:alignment horizontal="center" vertical="center"/>
    </x:xf>
    <x:xf numFmtId="0" fontId="7" fillId="2" borderId="0" xfId="0" applyNumberFormat="1" applyFont="1" applyFill="1" applyBorder="1" applyAlignment="1">
      <x:alignment horizontal="center" vertical="center"/>
    </x:xf>
    <x:xf numFmtId="200" fontId="7" fillId="2" borderId="0" xfId="0" applyNumberFormat="1" applyFont="1" applyFill="1" applyBorder="1" applyAlignment="1">
      <x:alignment horizontal="center" vertical="center"/>
    </x:xf>
    <x:xf numFmtId="200" fontId="7" fillId="0" borderId="0" xfId="0" applyNumberFormat="1" applyFont="1" applyFill="1" applyBorder="1" applyAlignment="1">
      <x:alignment horizontal="center" vertical="center"/>
    </x:xf>
    <x:xf numFmtId="0" fontId="7" fillId="0" borderId="7" xfId="0" applyNumberFormat="1" applyFont="1" applyFill="1" applyBorder="1" applyAlignment="1">
      <x:alignment horizontal="center" vertical="center"/>
    </x:xf>
    <x:xf numFmtId="0" fontId="7" fillId="0" borderId="7" xfId="0" applyNumberFormat="1" applyFont="1" applyFill="1" applyBorder="1" applyAlignment="1">
      <x:alignment vertical="center"/>
    </x:xf>
    <x:xf numFmtId="0" fontId="7" fillId="0" borderId="7" xfId="0" applyNumberFormat="1" applyFont="1" applyFill="1" applyBorder="1" applyAlignment="1">
      <x:alignment vertical="center" wrapText="1"/>
    </x:xf>
    <x:xf numFmtId="0" fontId="7" fillId="2" borderId="7" xfId="0" applyNumberFormat="1" applyFont="1" applyFill="1" applyBorder="1" applyAlignment="1">
      <x:alignment horizontal="center" vertical="center"/>
    </x:xf>
    <x:xf numFmtId="200" fontId="7" fillId="2" borderId="7" xfId="0" applyNumberFormat="1" applyFont="1" applyFill="1" applyBorder="1" applyAlignment="1">
      <x:alignment horizontal="center" vertical="center"/>
    </x:xf>
    <x:xf numFmtId="200" fontId="7" fillId="0" borderId="7" xfId="0" applyNumberFormat="1" applyFont="1" applyFill="1" applyBorder="1" applyAlignment="1">
      <x:alignment horizontal="center" vertical="center"/>
    </x:xf>
    <x:xf numFmtId="0" fontId="7" fillId="0" borderId="10" xfId="0" applyNumberFormat="1" applyFont="1" applyFill="1" applyBorder="1" applyAlignment="1">
      <x:alignment horizontal="center" vertical="center"/>
    </x:xf>
    <x:xf numFmtId="0" fontId="7" fillId="0" borderId="10" xfId="0" applyNumberFormat="1" applyFont="1" applyFill="1" applyBorder="1" applyAlignment="1">
      <x:alignment vertical="center"/>
    </x:xf>
    <x:xf numFmtId="0" fontId="7" fillId="0" borderId="10" xfId="0" applyNumberFormat="1" applyFont="1" applyFill="1" applyBorder="1" applyAlignment="1">
      <x:alignment vertical="center" wrapText="1"/>
    </x:xf>
    <x:xf numFmtId="0" fontId="7" fillId="2" borderId="10" xfId="0" applyNumberFormat="1" applyFont="1" applyFill="1" applyBorder="1" applyAlignment="1">
      <x:alignment horizontal="center" vertical="center"/>
    </x:xf>
    <x:xf numFmtId="200" fontId="7" fillId="2" borderId="10" xfId="0" applyNumberFormat="1" applyFont="1" applyFill="1" applyBorder="1" applyAlignment="1">
      <x:alignment horizontal="center" vertical="center"/>
    </x:xf>
    <x:xf numFmtId="200" fontId="7" fillId="0" borderId="10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11" xfId="0" applyNumberFormat="1" applyFont="1" applyFill="1" applyBorder="1"/>
    <x:xf numFmtId="0" fontId="2" fillId="6" borderId="12" xfId="0" applyNumberFormat="1" applyFont="1" applyFill="1" applyBorder="1"/>
    <x:xf numFmtId="0" fontId="2" fillId="6" borderId="13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3" fillId="6" borderId="11" xfId="0" applyNumberFormat="1" applyFont="1" applyFill="1" applyBorder="1"/>
    <x:xf numFmtId="0" fontId="3" fillId="6" borderId="12" xfId="0" applyNumberFormat="1" applyFont="1" applyFill="1" applyBorder="1"/>
    <x:xf numFmtId="0" fontId="3" fillId="6" borderId="13" xfId="0" applyNumberFormat="1" applyFont="1" applyFill="1" applyBorder="1"/>
    <x:xf numFmtId="0" fontId="3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3" fillId="6" borderId="11" xfId="0" applyNumberFormat="1" applyFont="1" applyFill="1" applyBorder="1" applyAlignment="1">
      <x:alignment vertical="center"/>
    </x:xf>
    <x:xf numFmtId="0" fontId="3" fillId="6" borderId="12" xfId="0" applyNumberFormat="1" applyFont="1" applyFill="1" applyBorder="1" applyAlignment="1">
      <x:alignment vertical="center"/>
    </x:xf>
    <x:xf numFmtId="0" fontId="3" fillId="6" borderId="13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horizontal="center" vertical="center" wrapText="1"/>
    </x:xf>
    <x:xf numFmtId="0" fontId="7" fillId="0" borderId="7" xfId="0" applyNumberFormat="1" applyFont="1" applyFill="1" applyBorder="1" applyAlignment="1">
      <x:alignment horizontal="center" vertical="center" wrapText="1"/>
    </x:xf>
    <x:xf numFmtId="0" fontId="7" fillId="0" borderId="10" xfId="0" applyNumberFormat="1" applyFont="1" applyFill="1" applyBorder="1" applyAlignment="1">
      <x:alignment horizontal="center" vertical="center" wrapText="1"/>
    </x:xf>
    <x:xf numFmtId="0" fontId="7" fillId="4" borderId="7" xfId="0" applyNumberFormat="1" applyFont="1" applyFill="1" applyBorder="1" applyAlignment="1">
      <x:alignment vertical="center" wrapText="1"/>
    </x:xf>
    <x:xf numFmtId="0" fontId="7" fillId="6" borderId="10" xfId="0" applyNumberFormat="1" applyFont="1" applyFill="1" applyBorder="1" applyAlignment="1">
      <x:alignment vertical="center" wrapText="1"/>
    </x:xf>
    <x:xf numFmtId="0" fontId="7" fillId="2" borderId="10" xfId="0" applyNumberFormat="1" applyFont="1" applyFill="1" applyBorder="1" applyAlignment="1">
      <x:alignment vertical="center" wrapText="1"/>
    </x:xf>
    <x:xf numFmtId="0" fontId="7" fillId="7" borderId="10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 wrapText="0"/>
    </x:xf>
    <x:xf numFmtId="0" fontId="8" fillId="0" borderId="7" xfId="0" applyNumberFormat="1" applyFont="1" applyFill="1" applyBorder="1" applyAlignment="1">
      <x:alignment vertical="center" wrapText="0"/>
    </x:xf>
    <x:xf numFmtId="0" fontId="8" fillId="0" borderId="10" xfId="0" applyNumberFormat="1" applyFont="1" applyFill="1" applyBorder="1" applyAlignment="1">
      <x:alignment vertical="center" wrapText="0"/>
    </x:xf>
    <x:xf numFmtId="0" fontId="2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7" fillId="2" borderId="7" xfId="0" applyNumberFormat="1" applyFont="1" applyFill="1" applyBorder="1" applyAlignment="1">
      <x:alignment vertical="center"/>
    </x:xf>
    <x:xf numFmtId="0" fontId="7" fillId="2" borderId="10" xfId="0" applyNumberFormat="1" applyFont="1" applyFill="1" applyBorder="1" applyAlignment="1">
      <x:alignment vertical="center"/>
    </x:xf>
    <x:xf numFmtId="0" fontId="7" fillId="0" borderId="1" xfId="0" applyNumberFormat="1" applyFont="1" applyFill="1" applyBorder="1"/>
    <x:xf numFmtId="0" fontId="3" fillId="4" borderId="3" xfId="0" applyNumberFormat="1" applyFont="1" applyFill="1" applyBorder="1"/>
    <x:xf numFmtId="200" fontId="3" fillId="4" borderId="4" xfId="0" applyNumberFormat="1" applyFont="1" applyFill="1" applyBorder="1"/>
    <x:xf numFmtId="0" fontId="7" fillId="4" borderId="4" xfId="0" applyNumberFormat="1" applyFont="1" applyFill="1" applyBorder="1"/>
    <x:xf numFmtId="0" fontId="3" fillId="4" borderId="4" xfId="0" applyNumberFormat="1" applyFont="1" applyFill="1" applyBorder="1"/>
    <x:xf numFmtId="0" fontId="7" fillId="4" borderId="5" xfId="0" applyNumberFormat="1" applyFont="1" applyFill="1" applyBorder="1"/>
    <x:xf numFmtId="0" fontId="9" fillId="0" borderId="0" xfId="0" applyNumberFormat="1" applyFont="1" applyFill="1" applyBorder="1"/>
    <x:xf numFmtId="0" fontId="3" fillId="3" borderId="6" xfId="0" applyNumberFormat="1" applyFont="1" applyFill="1" applyBorder="1"/>
    <x:xf numFmtId="0" fontId="7" fillId="3" borderId="7" xfId="0" applyNumberFormat="1" applyFont="1" applyFill="1" applyBorder="1" applyAlignment="1">
      <x:alignment horizontal="center"/>
    </x:xf>
    <x:xf numFmtId="0" fontId="7" fillId="3" borderId="8" xfId="0" applyNumberFormat="1" applyFont="1" applyFill="1" applyBorder="1" applyAlignment="1">
      <x:alignment horizontal="center"/>
    </x:xf>
  </x:cellXfs>
  <x:cellStyles count="1">
    <x:cellStyle name="Normal" xfId="0"/>
  </x:cellStyles>
  <x:dxfs count="7">
    <x:dxf>
      <x:font>
        <x:b/>
        <x:color rgb="FF1B5E20"/>
      </x:font>
      <x:fill>
        <x:patternFill patternType="solid">
          <x:bgColor rgb="FFE8F3EC"/>
        </x:patternFill>
      </x:fill>
    </x:dxf>
    <x:dxf>
      <x:font>
        <x:color rgb="FF7A5600"/>
      </x:font>
      <x:fill>
        <x:patternFill patternType="solid">
          <x:bgColor rgb="FFFFF3CD"/>
        </x:patternFill>
      </x:fill>
    </x:dxf>
    <x:dxf>
      <x:font>
        <x:color rgb="FF566573"/>
      </x:font>
      <x:fill>
        <x:patternFill patternType="solid">
          <x:bgColor rgb="FFF3F5F7"/>
        </x:patternFill>
      </x:fill>
    </x:dxf>
    <x:dxf>
      <x:font>
        <x:b/>
        <x:color rgb="FF9C1C1C"/>
      </x:font>
      <x:fill>
        <x:patternFill patternType="solid">
          <x:bgColor rgb="FFFCE8E6"/>
        </x:patternFill>
      </x:fill>
    </x:dxf>
    <x:dxf>
      <x:font>
        <x:color rgb="FF17324D"/>
      </x:font>
      <x:fill>
        <x:patternFill patternType="solid">
          <x:bgColor rgb="FFEAF2F8"/>
        </x:patternFill>
      </x:fill>
    </x:dxf>
    <x:dxf>
      <x:font>
        <x:b/>
        <x:color rgb="FF1B5E20"/>
      </x:font>
      <x:fill>
        <x:patternFill patternType="solid">
          <x:bgColor rgb="FFE8F3EC"/>
        </x:patternFill>
      </x:fill>
    </x:dxf>
    <x:dxf>
      <x:font>
        <x:color rgb="FF7A5600"/>
      </x:font>
      <x:fill>
        <x:patternFill patternType="solid">
          <x:bgColor rgb="FFFFF3C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ce93a955d784fee" /><Relationship Type="http://schemas.openxmlformats.org/officeDocument/2006/relationships/theme" Target="/xl/theme/theme1.xml" Id="R9d423b4953094499" /><Relationship Type="http://schemas.openxmlformats.org/officeDocument/2006/relationships/sharedStrings" Target="/xl/sharedStrings.xml" Id="Rce50c4fa098f43d8" /><Relationship Type="http://schemas.openxmlformats.org/officeDocument/2006/relationships/worksheet" Target="/xl/worksheets/sheet1.xml" Id="Rbd29291f7b334453" /><Relationship Type="http://schemas.openxmlformats.org/officeDocument/2006/relationships/worksheet" Target="/xl/worksheets/sheet2.xml" Id="R675f11afa5384830" /><Relationship Type="http://schemas.openxmlformats.org/officeDocument/2006/relationships/worksheet" Target="/xl/worksheets/sheet3.xml" Id="R81448efd2cca408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7324D"/>
  </x:sheetPr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7" hidden="0" customWidth="1"/>
    <x:col min="2" max="2" width="10" hidden="0" customWidth="1"/>
    <x:col min="3" max="3" width="9" hidden="0" customWidth="1"/>
    <x:col min="4" max="4" width="20" hidden="0" customWidth="1"/>
    <x:col min="5" max="5" width="42" hidden="0" customWidth="1"/>
    <x:col min="6" max="6" width="11" hidden="0" customWidth="1"/>
    <x:col min="7" max="7" width="11" hidden="0" customWidth="1"/>
    <x:col min="8" max="8" width="9" hidden="0" customWidth="1"/>
    <x:col min="9" max="9" width="13" hidden="0" customWidth="1"/>
    <x:col min="10" max="10" width="13" hidden="0" customWidth="1"/>
    <x:col min="11" max="11" width="12" hidden="0" customWidth="1"/>
    <x:col min="12" max="12" width="42" hidden="0" customWidth="1"/>
  </x:cols>
  <x:sheetData>
    <x:row r="1">
      <x:c r="A1" s="32"/>
      <x:c r="B1" s="32"/>
      <x:c r="C1" s="32"/>
      <x:c r="D1" s="32"/>
      <x:c r="E1" s="32"/>
      <x:c r="F1" s="32"/>
      <x:c r="G1" s="32"/>
      <x:c r="H1" s="32"/>
      <x:c r="I1" s="32"/>
      <x:c r="J1" s="32"/>
      <x:c r="K1" s="32"/>
      <x:c r="L1" s="32"/>
    </x:row>
    <x:row r="2">
      <x:c r="A2" s="1" t="str">
        <x:v>RLLS 低成本灌溉 Demo 购买清单</x:v>
      </x:c>
      <x:c r="B2" s="32"/>
      <x:c r="C2" s="32"/>
      <x:c r="D2" s="32"/>
      <x:c r="E2" s="32"/>
      <x:c r="F2" s="32"/>
      <x:c r="G2" s="32"/>
      <x:c r="H2" s="32"/>
      <x:c r="I2" s="32"/>
      <x:c r="J2" s="32"/>
      <x:c r="K2" s="32"/>
      <x:c r="L2" s="32"/>
    </x:row>
    <x:row r="3">
      <x:c r="A3" s="87"/>
      <x:c r="B3" s="87"/>
      <x:c r="C3" s="87"/>
      <x:c r="D3" s="87"/>
      <x:c r="E3" s="87"/>
      <x:c r="F3" s="87"/>
      <x:c r="G3" s="87"/>
      <x:c r="H3" s="87"/>
      <x:c r="I3" s="87"/>
      <x:c r="J3" s="87"/>
      <x:c r="K3" s="87"/>
      <x:c r="L3" s="87"/>
    </x:row>
    <x:row r="4" ht="23" customHeight="1">
      <x:c r="A4" s="66" t="str">
        <x:v>探头方案</x:v>
      </x:c>
      <x:c r="B4" s="6" t="str">
        <x:v>DFRobot SEN0193（省钱版）</x:v>
      </x:c>
      <x:c r="C4" s="32"/>
      <x:c r="D4" s="32"/>
      <x:c r="E4" s="32"/>
      <x:c r="F4" s="32"/>
      <x:c r="G4" s="32"/>
      <x:c r="H4" s="88" t="str">
        <x:v>总预算</x:v>
      </x:c>
      <x:c r="I4" s="89" t="n">
        <x:f>SUM(J9:J35)</x:f>
        <x:v>0</x:v>
      </x:c>
      <x:c r="J4" s="90"/>
      <x:c r="K4" s="91" t="str">
        <x:v>未下单项</x:v>
      </x:c>
      <x:c r="L4" s="92" t="n">
        <x:f>COUNTIFS(K9:K35,"未下单")</x:f>
        <x:v>23</x:v>
      </x:c>
    </x:row>
    <x:row r="5" ht="23" customHeight="1">
      <x:c r="A5" s="66" t="str">
        <x:v>当前建议</x:v>
      </x:c>
      <x:c r="B5" s="93" t="str">
        <x:f>IF($B$4="DFRobot SEN0308（防水版）","适合室外、可能淋水或较长期布置。",IF($B$4="通用电容式 V1.2（短期原型）","建议同批次购买 6 支，筛选 4 支使用；仅用于短期原型。","适合室内、花盆和短期实验；顶部电路不可埋入或淋水。"))</x:f>
        <x:v>适合室内、花盆和短期实验；顶部电路不可埋入或淋水。</x:v>
      </x:c>
      <x:c r="C5" s="93"/>
      <x:c r="D5" s="93"/>
      <x:c r="E5" s="93"/>
      <x:c r="F5" s="93"/>
      <x:c r="G5" s="32"/>
      <x:c r="H5" s="94" t="str">
        <x:v>待询价项</x:v>
      </x:c>
      <x:c r="I5" s="95" t="n">
        <x:f>COUNTBLANK(I9:I35)</x:f>
        <x:v>27</x:v>
      </x:c>
      <x:c r="J5" s="95"/>
      <x:c r="K5" s="95"/>
      <x:c r="L5" s="96"/>
    </x:row>
    <x:row r="6">
      <x:c r="A6" s="32"/>
      <x:c r="B6" s="32"/>
      <x:c r="C6" s="32"/>
      <x:c r="D6" s="32"/>
      <x:c r="E6" s="32"/>
      <x:c r="F6" s="32"/>
      <x:c r="G6" s="32"/>
      <x:c r="H6" s="32"/>
      <x:c r="I6" s="32"/>
      <x:c r="J6" s="32"/>
      <x:c r="K6" s="32"/>
      <x:c r="L6" s="32"/>
    </x:row>
    <x:row r="7">
      <x:c r="A7" s="32"/>
      <x:c r="B7" s="32"/>
      <x:c r="C7" s="32"/>
      <x:c r="D7" s="32"/>
      <x:c r="E7" s="32"/>
      <x:c r="F7" s="32"/>
      <x:c r="G7" s="32"/>
      <x:c r="H7" s="32"/>
      <x:c r="I7" s="32"/>
      <x:c r="J7" s="32"/>
      <x:c r="K7" s="32"/>
      <x:c r="L7" s="32"/>
    </x:row>
    <x:row r="8" ht="30" customHeight="1">
      <x:c r="A8" s="28" t="str">
        <x:v>序号</x:v>
      </x:c>
      <x:c r="B8" s="28" t="str">
        <x:v>类别</x:v>
      </x:c>
      <x:c r="C8" s="28" t="str">
        <x:v>优先级</x:v>
      </x:c>
      <x:c r="D8" s="28" t="str">
        <x:v>物品</x:v>
      </x:c>
      <x:c r="E8" s="28" t="str">
        <x:v>推荐型号 / 搜索词</x:v>
      </x:c>
      <x:c r="F8" s="28" t="str">
        <x:v>建议数量</x:v>
      </x:c>
      <x:c r="G8" s="28" t="str">
        <x:v>购买数量</x:v>
      </x:c>
      <x:c r="H8" s="28" t="str">
        <x:v>单位</x:v>
      </x:c>
      <x:c r="I8" s="28" t="str">
        <x:v>单价（元）</x:v>
      </x:c>
      <x:c r="J8" s="28" t="str">
        <x:v>小计（元）</x:v>
      </x:c>
      <x:c r="K8" s="28" t="str">
        <x:v>采购状态</x:v>
      </x:c>
      <x:c r="L8" s="28" t="str">
        <x:v>注意事项</x:v>
      </x:c>
    </x:row>
    <x:row r="9" ht="34" customHeight="1">
      <x:c r="A9" s="45" t="n">
        <x:v>1</x:v>
      </x:c>
      <x:c r="B9" s="45" t="str">
        <x:v>传感器</x:v>
      </x:c>
      <x:c r="C9" s="45" t="str">
        <x:v>必买</x:v>
      </x:c>
      <x:c r="D9" s="46" t="str">
        <x:v>土壤湿度探头</x:v>
      </x:c>
      <x:c r="E9" s="47" t="str">
        <x:f>IF($B$4="DFRobot SEN0308（防水版）","DFRobot SEN0308 Gravity 模拟防水土壤湿度传感器",IF($B$4="通用电容式 V1.2（短期原型）","电容式土壤湿度传感器 V1.2；3.3 V；模拟输出；同批次","DFRobot SEN0193 Gravity 电容式土壤湿度传感器"))</x:f>
        <x:v>DFRobot SEN0193 Gravity 电容式土壤湿度传感器</x:v>
      </x:c>
      <x:c r="F9" s="45" t="n">
        <x:v>4</x:v>
      </x:c>
      <x:c r="G9" s="48" t="n">
        <x:f>IF($B$4="通用电容式 V1.2（短期原型）",6,4)</x:f>
        <x:v>4</x:v>
      </x:c>
      <x:c r="H9" s="45" t="str">
        <x:v>支</x:v>
      </x:c>
      <x:c r="I9" s="49"/>
      <x:c r="J9" s="50" t="str">
        <x:f>IF(OR(I9="",NOT(ISNUMBER(I9))),"",G9*I9)</x:f>
      </x:c>
      <x:c r="K9" s="45" t="str">
        <x:v>未下单</x:v>
      </x:c>
      <x:c r="L9" s="47" t="str">
        <x:v>四路使用同型号、同批次；每支单独编号和校准。</x:v>
      </x:c>
    </x:row>
    <x:row r="10" ht="34" customHeight="1">
      <x:c r="A10" s="51" t="n">
        <x:v>2</x:v>
      </x:c>
      <x:c r="B10" s="51" t="str">
        <x:v>控制器</x:v>
      </x:c>
      <x:c r="C10" s="51" t="str">
        <x:v>必买</x:v>
      </x:c>
      <x:c r="D10" s="52" t="str">
        <x:v>ESP32 开发板</x:v>
      </x:c>
      <x:c r="E10" s="53" t="str">
        <x:v>ESP32-DevKitC V4 / ESP32-WROOM-32，确认 30 针或 38 针</x:v>
      </x:c>
      <x:c r="F10" s="51" t="n">
        <x:v>1</x:v>
      </x:c>
      <x:c r="G10" s="54" t="n">
        <x:v>1</x:v>
      </x:c>
      <x:c r="H10" s="51" t="str">
        <x:v>块</x:v>
      </x:c>
      <x:c r="I10" s="55"/>
      <x:c r="J10" s="56" t="str">
        <x:f>IF(OR(I10="",NOT(ISNUMBER(I10))),"",G10*I10)</x:f>
      </x:c>
      <x:c r="K10" s="51" t="str">
        <x:v>未下单</x:v>
      </x:c>
      <x:c r="L10" s="53" t="str">
        <x:v>确认 USB 接口类型及实际板型 pinout。</x:v>
      </x:c>
    </x:row>
    <x:row r="11" ht="34" customHeight="1">
      <x:c r="A11" s="51" t="n">
        <x:v>3</x:v>
      </x:c>
      <x:c r="B11" s="51" t="str">
        <x:v>连接</x:v>
      </x:c>
      <x:c r="C11" s="51" t="str">
        <x:v>必买</x:v>
      </x:c>
      <x:c r="D11" s="52" t="str">
        <x:v>USB 数据线</x:v>
      </x:c>
      <x:c r="E11" s="53" t="str">
        <x:v>匹配开发板的 Type-C 或 Micro-USB 数据线，必须支持数据传输</x:v>
      </x:c>
      <x:c r="F11" s="51" t="n">
        <x:v>2</x:v>
      </x:c>
      <x:c r="G11" s="54" t="n">
        <x:v>2</x:v>
      </x:c>
      <x:c r="H11" s="51" t="str">
        <x:v>条</x:v>
      </x:c>
      <x:c r="I11" s="55"/>
      <x:c r="J11" s="56" t="str">
        <x:f>IF(OR(I11="",NOT(ISNUMBER(I11))),"",G11*I11)</x:f>
      </x:c>
      <x:c r="K11" s="51" t="str">
        <x:v>未下单</x:v>
      </x:c>
      <x:c r="L11" s="53" t="str">
        <x:v>一条使用，一条备用。</x:v>
      </x:c>
    </x:row>
    <x:row r="12" ht="34" customHeight="1">
      <x:c r="A12" s="51" t="n">
        <x:v>4</x:v>
      </x:c>
      <x:c r="B12" s="51" t="str">
        <x:v>连接</x:v>
      </x:c>
      <x:c r="C12" s="51" t="str">
        <x:v>必买</x:v>
      </x:c>
      <x:c r="D12" s="52" t="str">
        <x:v>面包板</x:v>
      </x:c>
      <x:c r="E12" s="53" t="str">
        <x:v>830 孔面包板；板太宽时改用两块 400 孔面包板</x:v>
      </x:c>
      <x:c r="F12" s="51" t="n">
        <x:v>1</x:v>
      </x:c>
      <x:c r="G12" s="54" t="n">
        <x:v>1</x:v>
      </x:c>
      <x:c r="H12" s="51" t="str">
        <x:v>块</x:v>
      </x:c>
      <x:c r="I12" s="55"/>
      <x:c r="J12" s="56" t="str">
        <x:f>IF(OR(I12="",NOT(ISNUMBER(I12))),"",G12*I12)</x:f>
      </x:c>
      <x:c r="K12" s="51" t="str">
        <x:v>未下单</x:v>
      </x:c>
      <x:c r="L12" s="53" t="str">
        <x:v>购买前核对 ESP32 宽度。</x:v>
      </x:c>
    </x:row>
    <x:row r="13" ht="34" customHeight="1">
      <x:c r="A13" s="51" t="n">
        <x:v>5</x:v>
      </x:c>
      <x:c r="B13" s="51" t="str">
        <x:v>连接</x:v>
      </x:c>
      <x:c r="C13" s="51" t="str">
        <x:v>必买</x:v>
      </x:c>
      <x:c r="D13" s="52" t="str">
        <x:v>杜邦线 公对公</x:v>
      </x:c>
      <x:c r="E13" s="53" t="str">
        <x:v>2.54 mm，20 cm</x:v>
      </x:c>
      <x:c r="F13" s="51" t="n">
        <x:v>1</x:v>
      </x:c>
      <x:c r="G13" s="54" t="n">
        <x:v>1</x:v>
      </x:c>
      <x:c r="H13" s="51" t="str">
        <x:v>盒</x:v>
      </x:c>
      <x:c r="I13" s="55"/>
      <x:c r="J13" s="56" t="str">
        <x:f>IF(OR(I13="",NOT(ISNUMBER(I13))),"",G13*I13)</x:f>
      </x:c>
      <x:c r="K13" s="51" t="str">
        <x:v>未下单</x:v>
      </x:c>
      <x:c r="L13" s="53" t="str">
        <x:v>用于面包板和开发板连接。</x:v>
      </x:c>
    </x:row>
    <x:row r="14" ht="34" customHeight="1">
      <x:c r="A14" s="51" t="n">
        <x:v>6</x:v>
      </x:c>
      <x:c r="B14" s="51" t="str">
        <x:v>连接</x:v>
      </x:c>
      <x:c r="C14" s="51" t="str">
        <x:v>必买</x:v>
      </x:c>
      <x:c r="D14" s="52" t="str">
        <x:v>杜邦线 公对母</x:v>
      </x:c>
      <x:c r="E14" s="53" t="str">
        <x:v>2.54 mm，20 cm</x:v>
      </x:c>
      <x:c r="F14" s="51" t="n">
        <x:v>1</x:v>
      </x:c>
      <x:c r="G14" s="54" t="n">
        <x:v>1</x:v>
      </x:c>
      <x:c r="H14" s="51" t="str">
        <x:v>盒</x:v>
      </x:c>
      <x:c r="I14" s="55"/>
      <x:c r="J14" s="56" t="str">
        <x:f>IF(OR(I14="",NOT(ISNUMBER(I14))),"",G14*I14)</x:f>
      </x:c>
      <x:c r="K14" s="51" t="str">
        <x:v>未下单</x:v>
      </x:c>
      <x:c r="L14" s="53" t="str">
        <x:v>适配不同传感器接头。</x:v>
      </x:c>
    </x:row>
    <x:row r="15" ht="34" customHeight="1">
      <x:c r="A15" s="51" t="n">
        <x:v>7</x:v>
      </x:c>
      <x:c r="B15" s="51" t="str">
        <x:v>连接</x:v>
      </x:c>
      <x:c r="C15" s="51" t="str">
        <x:v>必买</x:v>
      </x:c>
      <x:c r="D15" s="52" t="str">
        <x:v>探头配套连接线</x:v>
      </x:c>
      <x:c r="E15" s="53" t="str">
        <x:v>SEN0193 通常为 PH2.0-3P；按实际商品接口确认</x:v>
      </x:c>
      <x:c r="F15" s="51" t="n">
        <x:v>4</x:v>
      </x:c>
      <x:c r="G15" s="54" t="n">
        <x:v>4</x:v>
      </x:c>
      <x:c r="H15" s="51" t="str">
        <x:v>条</x:v>
      </x:c>
      <x:c r="I15" s="55"/>
      <x:c r="J15" s="56" t="str">
        <x:f>IF(OR(I15="",NOT(ISNUMBER(I15))),"",G15*I15)</x:f>
      </x:c>
      <x:c r="K15" s="51" t="str">
        <x:v>未下单</x:v>
      </x:c>
      <x:c r="L15" s="53" t="str">
        <x:v>如果探头已含线，可将购买数量改为 0。</x:v>
      </x:c>
    </x:row>
    <x:row r="16" ht="34" customHeight="1">
      <x:c r="A16" s="51" t="n">
        <x:v>8</x:v>
      </x:c>
      <x:c r="B16" s="51" t="str">
        <x:v>记录</x:v>
      </x:c>
      <x:c r="C16" s="51" t="str">
        <x:v>必买</x:v>
      </x:c>
      <x:c r="D16" s="52" t="str">
        <x:v>防水线缆标签</x:v>
      </x:c>
      <x:c r="E16" s="53" t="str">
        <x:v>可书写线缆标签，编号 soil_01 至 soil_04</x:v>
      </x:c>
      <x:c r="F16" s="51" t="n">
        <x:v>1</x:v>
      </x:c>
      <x:c r="G16" s="54" t="n">
        <x:v>1</x:v>
      </x:c>
      <x:c r="H16" s="51" t="str">
        <x:v>包</x:v>
      </x:c>
      <x:c r="I16" s="55"/>
      <x:c r="J16" s="56" t="str">
        <x:f>IF(OR(I16="",NOT(ISNUMBER(I16))),"",G16*I16)</x:f>
      </x:c>
      <x:c r="K16" s="51" t="str">
        <x:v>未下单</x:v>
      </x:c>
      <x:c r="L16" s="53" t="str">
        <x:v>同时记录区域和安装深度。</x:v>
      </x:c>
    </x:row>
    <x:row r="17" ht="34" customHeight="1">
      <x:c r="A17" s="51" t="n">
        <x:v>9</x:v>
      </x:c>
      <x:c r="B17" s="51" t="str">
        <x:v>控制器</x:v>
      </x:c>
      <x:c r="C17" s="51" t="str">
        <x:v>建议</x:v>
      </x:c>
      <x:c r="D17" s="52" t="str">
        <x:v>备用 ESP32</x:v>
      </x:c>
      <x:c r="E17" s="53" t="str">
        <x:v>与主开发板完全相同</x:v>
      </x:c>
      <x:c r="F17" s="51" t="n">
        <x:v>1</x:v>
      </x:c>
      <x:c r="G17" s="54" t="n">
        <x:v>1</x:v>
      </x:c>
      <x:c r="H17" s="51" t="str">
        <x:v>块</x:v>
      </x:c>
      <x:c r="I17" s="55"/>
      <x:c r="J17" s="56" t="str">
        <x:f>IF(OR(I17="",NOT(ISNUMBER(I17))),"",G17*I17)</x:f>
      </x:c>
      <x:c r="K17" s="51" t="str">
        <x:v>未下单</x:v>
      </x:c>
      <x:c r="L17" s="53" t="str">
        <x:v>降低演示前硬件损坏风险。</x:v>
      </x:c>
    </x:row>
    <x:row r="18" ht="34" customHeight="1">
      <x:c r="A18" s="51" t="n">
        <x:v>10</x:v>
      </x:c>
      <x:c r="B18" s="51" t="str">
        <x:v>连接</x:v>
      </x:c>
      <x:c r="C18" s="51" t="str">
        <x:v>建议</x:v>
      </x:c>
      <x:c r="D18" s="52" t="str">
        <x:v>ESP32 扩展板</x:v>
      </x:c>
      <x:c r="E18" s="53" t="str">
        <x:v>按开发板针数搜索 30 针或 38 针 ESP32 扩展板</x:v>
      </x:c>
      <x:c r="F18" s="51" t="n">
        <x:v>1</x:v>
      </x:c>
      <x:c r="G18" s="54" t="n">
        <x:v>1</x:v>
      </x:c>
      <x:c r="H18" s="51" t="str">
        <x:v>块</x:v>
      </x:c>
      <x:c r="I18" s="55"/>
      <x:c r="J18" s="56" t="str">
        <x:f>IF(OR(I18="",NOT(ISNUMBER(I18))),"",G18*I18)</x:f>
      </x:c>
      <x:c r="K18" s="51" t="str">
        <x:v>未下单</x:v>
      </x:c>
      <x:c r="L18" s="53" t="str">
        <x:v>先确认开发板针数再购买。</x:v>
      </x:c>
    </x:row>
    <x:row r="19" ht="34" customHeight="1">
      <x:c r="A19" s="51" t="n">
        <x:v>11</x:v>
      </x:c>
      <x:c r="B19" s="51" t="str">
        <x:v>供电</x:v>
      </x:c>
      <x:c r="C19" s="51" t="str">
        <x:v>建议</x:v>
      </x:c>
      <x:c r="D19" s="52" t="str">
        <x:v>USB 电源适配器</x:v>
      </x:c>
      <x:c r="E19" s="53" t="str">
        <x:v>5 V 2 A USB 电源</x:v>
      </x:c>
      <x:c r="F19" s="51" t="n">
        <x:v>1</x:v>
      </x:c>
      <x:c r="G19" s="54" t="n">
        <x:v>1</x:v>
      </x:c>
      <x:c r="H19" s="51" t="str">
        <x:v>个</x:v>
      </x:c>
      <x:c r="I19" s="55"/>
      <x:c r="J19" s="56" t="str">
        <x:f>IF(OR(I19="",NOT(ISNUMBER(I19))),"",G19*I19)</x:f>
      </x:c>
      <x:c r="K19" s="51" t="str">
        <x:v>未下单</x:v>
      </x:c>
      <x:c r="L19" s="53" t="str">
        <x:v>独立演示使用；电脑 USB 调试时可以不用。</x:v>
      </x:c>
    </x:row>
    <x:row r="20" ht="34" customHeight="1">
      <x:c r="A20" s="51" t="n">
        <x:v>12</x:v>
      </x:c>
      <x:c r="B20" s="51" t="str">
        <x:v>测量</x:v>
      </x:c>
      <x:c r="C20" s="51" t="str">
        <x:v>建议</x:v>
      </x:c>
      <x:c r="D20" s="52" t="str">
        <x:v>数字万用表</x:v>
      </x:c>
      <x:c r="E20" s="53" t="str">
        <x:v>入门自动量程万用表</x:v>
      </x:c>
      <x:c r="F20" s="51" t="n">
        <x:v>1</x:v>
      </x:c>
      <x:c r="G20" s="54" t="n">
        <x:v>1</x:v>
      </x:c>
      <x:c r="H20" s="51" t="str">
        <x:v>个</x:v>
      </x:c>
      <x:c r="I20" s="55"/>
      <x:c r="J20" s="56" t="str">
        <x:f>IF(OR(I20="",NOT(ISNUMBER(I20))),"",G20*I20)</x:f>
      </x:c>
      <x:c r="K20" s="51" t="str">
        <x:v>未下单</x:v>
      </x:c>
      <x:c r="L20" s="53" t="str">
        <x:v>用于检查供电、短路和模拟输出。</x:v>
      </x:c>
    </x:row>
    <x:row r="21" ht="34" customHeight="1">
      <x:c r="A21" s="51" t="n">
        <x:v>13</x:v>
      </x:c>
      <x:c r="B21" s="51" t="str">
        <x:v>防护</x:v>
      </x:c>
      <x:c r="C21" s="51" t="str">
        <x:v>建议</x:v>
      </x:c>
      <x:c r="D21" s="52" t="str">
        <x:v>防水接线盒</x:v>
      </x:c>
      <x:c r="E21" s="53" t="str">
        <x:v>IP65 或更高，尺寸需容纳 ESP32、端子和余线</x:v>
      </x:c>
      <x:c r="F21" s="51" t="n">
        <x:v>1</x:v>
      </x:c>
      <x:c r="G21" s="54" t="n">
        <x:v>1</x:v>
      </x:c>
      <x:c r="H21" s="51" t="str">
        <x:v>个</x:v>
      </x:c>
      <x:c r="I21" s="55"/>
      <x:c r="J21" s="56" t="str">
        <x:f>IF(OR(I21="",NOT(ISNUMBER(I21))),"",G21*I21)</x:f>
      </x:c>
      <x:c r="K21" s="51" t="str">
        <x:v>未下单</x:v>
      </x:c>
      <x:c r="L21" s="53" t="str">
        <x:v>面包板不能裸放在户外。</x:v>
      </x:c>
    </x:row>
    <x:row r="22" ht="34" customHeight="1">
      <x:c r="A22" s="51" t="n">
        <x:v>14</x:v>
      </x:c>
      <x:c r="B22" s="51" t="str">
        <x:v>防护</x:v>
      </x:c>
      <x:c r="C22" s="51" t="str">
        <x:v>建议</x:v>
      </x:c>
      <x:c r="D22" s="52" t="str">
        <x:v>防水电缆接头</x:v>
      </x:c>
      <x:c r="E22" s="53" t="str">
        <x:v>按探头线和 USB/电源线实际外径选择</x:v>
      </x:c>
      <x:c r="F22" s="51" t="n">
        <x:v>6</x:v>
      </x:c>
      <x:c r="G22" s="54" t="n">
        <x:v>6</x:v>
      </x:c>
      <x:c r="H22" s="51" t="str">
        <x:v>个</x:v>
      </x:c>
      <x:c r="I22" s="55"/>
      <x:c r="J22" s="56" t="str">
        <x:f>IF(OR(I22="",NOT(ISNUMBER(I22))),"",G22*I22)</x:f>
      </x:c>
      <x:c r="K22" s="51" t="str">
        <x:v>未下单</x:v>
      </x:c>
      <x:c r="L22" s="53" t="str">
        <x:v>不要仅凭 PG7/PG9 名称下单，先量线径。</x:v>
      </x:c>
    </x:row>
    <x:row r="23" ht="34" customHeight="1">
      <x:c r="A23" s="51" t="n">
        <x:v>15</x:v>
      </x:c>
      <x:c r="B23" s="51" t="str">
        <x:v>连接</x:v>
      </x:c>
      <x:c r="C23" s="51" t="str">
        <x:v>建议</x:v>
      </x:c>
      <x:c r="D23" s="52" t="str">
        <x:v>螺丝端子 / 分线端子</x:v>
      </x:c>
      <x:c r="E23" s="53" t="str">
        <x:v>小型接线端子或 2.54 mm 螺丝端子</x:v>
      </x:c>
      <x:c r="F23" s="51" t="n">
        <x:v>1</x:v>
      </x:c>
      <x:c r="G23" s="54" t="n">
        <x:v>1</x:v>
      </x:c>
      <x:c r="H23" s="51" t="str">
        <x:v>套</x:v>
      </x:c>
      <x:c r="I23" s="55"/>
      <x:c r="J23" s="56" t="str">
        <x:f>IF(OR(I23="",NOT(ISNUMBER(I23))),"",G23*I23)</x:f>
      </x:c>
      <x:c r="K23" s="51" t="str">
        <x:v>未下单</x:v>
      </x:c>
      <x:c r="L23" s="53" t="str">
        <x:v>长期布置比松动的杜邦线可靠。</x:v>
      </x:c>
    </x:row>
    <x:row r="24" ht="34" customHeight="1">
      <x:c r="A24" s="51" t="n">
        <x:v>16</x:v>
      </x:c>
      <x:c r="B24" s="51" t="str">
        <x:v>防护</x:v>
      </x:c>
      <x:c r="C24" s="51" t="str">
        <x:v>建议</x:v>
      </x:c>
      <x:c r="D24" s="52" t="str">
        <x:v>热缩管套装</x:v>
      </x:c>
      <x:c r="E24" s="53" t="str">
        <x:v>多规格热缩管</x:v>
      </x:c>
      <x:c r="F24" s="51" t="n">
        <x:v>1</x:v>
      </x:c>
      <x:c r="G24" s="54" t="n">
        <x:v>1</x:v>
      </x:c>
      <x:c r="H24" s="51" t="str">
        <x:v>盒</x:v>
      </x:c>
      <x:c r="I24" s="55"/>
      <x:c r="J24" s="56" t="str">
        <x:f>IF(OR(I24="",NOT(ISNUMBER(I24))),"",G24*I24)</x:f>
      </x:c>
      <x:c r="K24" s="51" t="str">
        <x:v>未下单</x:v>
      </x:c>
      <x:c r="L24" s="53" t="str">
        <x:v>保护焊点和接线处。</x:v>
      </x:c>
    </x:row>
    <x:row r="25" ht="34" customHeight="1">
      <x:c r="A25" s="51" t="n">
        <x:v>17</x:v>
      </x:c>
      <x:c r="B25" s="51" t="str">
        <x:v>防护</x:v>
      </x:c>
      <x:c r="C25" s="51" t="str">
        <x:v>建议</x:v>
      </x:c>
      <x:c r="D25" s="52" t="str">
        <x:v>自粘防水胶带</x:v>
      </x:c>
      <x:c r="E25" s="53" t="str">
        <x:v>自融硅胶带或同类防水胶带</x:v>
      </x:c>
      <x:c r="F25" s="51" t="n">
        <x:v>1</x:v>
      </x:c>
      <x:c r="G25" s="54" t="n">
        <x:v>1</x:v>
      </x:c>
      <x:c r="H25" s="51" t="str">
        <x:v>卷</x:v>
      </x:c>
      <x:c r="I25" s="55"/>
      <x:c r="J25" s="56" t="str">
        <x:f>IF(OR(I25="",NOT(ISNUMBER(I25))),"",G25*I25)</x:f>
      </x:c>
      <x:c r="K25" s="51" t="str">
        <x:v>未下单</x:v>
      </x:c>
      <x:c r="L25" s="53" t="str">
        <x:v>用于接口二次防水。</x:v>
      </x:c>
    </x:row>
    <x:row r="26" ht="34" customHeight="1">
      <x:c r="A26" s="51" t="n">
        <x:v>18</x:v>
      </x:c>
      <x:c r="B26" s="51" t="str">
        <x:v>固定</x:v>
      </x:c>
      <x:c r="C26" s="51" t="str">
        <x:v>建议</x:v>
      </x:c>
      <x:c r="D26" s="52" t="str">
        <x:v>扎带</x:v>
      </x:c>
      <x:c r="E26" s="53" t="str">
        <x:v>尼龙扎带</x:v>
      </x:c>
      <x:c r="F26" s="51" t="n">
        <x:v>1</x:v>
      </x:c>
      <x:c r="G26" s="54" t="n">
        <x:v>1</x:v>
      </x:c>
      <x:c r="H26" s="51" t="str">
        <x:v>包</x:v>
      </x:c>
      <x:c r="I26" s="55"/>
      <x:c r="J26" s="56" t="str">
        <x:f>IF(OR(I26="",NOT(ISNUMBER(I26))),"",G26*I26)</x:f>
      </x:c>
      <x:c r="K26" s="51" t="str">
        <x:v>未下单</x:v>
      </x:c>
      <x:c r="L26" s="53" t="str">
        <x:v>避免线缆拉扯接头。</x:v>
      </x:c>
    </x:row>
    <x:row r="27" ht="34" customHeight="1">
      <x:c r="A27" s="51" t="n">
        <x:v>19</x:v>
      </x:c>
      <x:c r="B27" s="51" t="str">
        <x:v>校准</x:v>
      </x:c>
      <x:c r="C27" s="51" t="str">
        <x:v>必买</x:v>
      </x:c>
      <x:c r="D27" s="52" t="str">
        <x:v>相同土样容器</x:v>
      </x:c>
      <x:c r="E27" s="53" t="str">
        <x:v>尺寸一致、可编号</x:v>
      </x:c>
      <x:c r="F27" s="51" t="n">
        <x:v>4</x:v>
      </x:c>
      <x:c r="G27" s="54" t="n">
        <x:v>4</x:v>
      </x:c>
      <x:c r="H27" s="51" t="str">
        <x:v>个</x:v>
      </x:c>
      <x:c r="I27" s="55"/>
      <x:c r="J27" s="56" t="str">
        <x:f>IF(OR(I27="",NOT(ISNUMBER(I27))),"",G27*I27)</x:f>
      </x:c>
      <x:c r="K27" s="51" t="str">
        <x:v>未下单</x:v>
      </x:c>
      <x:c r="L27" s="53" t="str">
        <x:v>用于四支探头一致性检查。</x:v>
      </x:c>
    </x:row>
    <x:row r="28" ht="34" customHeight="1">
      <x:c r="A28" s="51" t="n">
        <x:v>20</x:v>
      </x:c>
      <x:c r="B28" s="51" t="str">
        <x:v>校准</x:v>
      </x:c>
      <x:c r="C28" s="51" t="str">
        <x:v>必买</x:v>
      </x:c>
      <x:c r="D28" s="52" t="str">
        <x:v>量杯或大容量注射器</x:v>
      </x:c>
      <x:c r="E28" s="53" t="str">
        <x:v>带清晰刻度</x:v>
      </x:c>
      <x:c r="F28" s="51" t="n">
        <x:v>1</x:v>
      </x:c>
      <x:c r="G28" s="54" t="n">
        <x:v>1</x:v>
      </x:c>
      <x:c r="H28" s="51" t="str">
        <x:v>个</x:v>
      </x:c>
      <x:c r="I28" s="55"/>
      <x:c r="J28" s="56" t="str">
        <x:f>IF(OR(I28="",NOT(ISNUMBER(I28))),"",G28*I28)</x:f>
      </x:c>
      <x:c r="K28" s="51" t="str">
        <x:v>未下单</x:v>
      </x:c>
      <x:c r="L28" s="53" t="str">
        <x:v>控制加水量。</x:v>
      </x:c>
    </x:row>
    <x:row r="29" ht="34" customHeight="1">
      <x:c r="A29" s="51" t="n">
        <x:v>21</x:v>
      </x:c>
      <x:c r="B29" s="51" t="str">
        <x:v>安装</x:v>
      </x:c>
      <x:c r="C29" s="51" t="str">
        <x:v>必买</x:v>
      </x:c>
      <x:c r="D29" s="52" t="str">
        <x:v>深度钢尺</x:v>
      </x:c>
      <x:c r="E29" s="53" t="str">
        <x:v>厘米刻度</x:v>
      </x:c>
      <x:c r="F29" s="51" t="n">
        <x:v>1</x:v>
      </x:c>
      <x:c r="G29" s="54" t="n">
        <x:v>1</x:v>
      </x:c>
      <x:c r="H29" s="51" t="str">
        <x:v>把</x:v>
      </x:c>
      <x:c r="I29" s="55"/>
      <x:c r="J29" s="56" t="str">
        <x:f>IF(OR(I29="",NOT(ISNUMBER(I29))),"",G29*I29)</x:f>
      </x:c>
      <x:c r="K29" s="51" t="str">
        <x:v>未下单</x:v>
      </x:c>
      <x:c r="L29" s="53" t="str">
        <x:v>探头自身不会测量安装深度。</x:v>
      </x:c>
    </x:row>
    <x:row r="30" ht="34" customHeight="1">
      <x:c r="A30" s="51" t="n">
        <x:v>22</x:v>
      </x:c>
      <x:c r="B30" s="51" t="str">
        <x:v>安装</x:v>
      </x:c>
      <x:c r="C30" s="51" t="str">
        <x:v>建议</x:v>
      </x:c>
      <x:c r="D30" s="52" t="str">
        <x:v>小铲或土钻</x:v>
      </x:c>
      <x:c r="E30" s="53" t="str">
        <x:v>按盆栽或现场土壤选择</x:v>
      </x:c>
      <x:c r="F30" s="51" t="n">
        <x:v>1</x:v>
      </x:c>
      <x:c r="G30" s="54" t="n">
        <x:v>1</x:v>
      </x:c>
      <x:c r="H30" s="51" t="str">
        <x:v>把</x:v>
      </x:c>
      <x:c r="I30" s="55"/>
      <x:c r="J30" s="56" t="str">
        <x:f>IF(OR(I30="",NOT(ISNUMBER(I30))),"",G30*I30)</x:f>
      </x:c>
      <x:c r="K30" s="51" t="str">
        <x:v>未下单</x:v>
      </x:c>
      <x:c r="L30" s="53" t="str">
        <x:v>尽量减少反复插拔造成的土壤扰动。</x:v>
      </x:c>
    </x:row>
    <x:row r="31" ht="34" customHeight="1">
      <x:c r="A31" s="51" t="n">
        <x:v>23</x:v>
      </x:c>
      <x:c r="B31" s="51" t="str">
        <x:v>记录</x:v>
      </x:c>
      <x:c r="C31" s="51" t="str">
        <x:v>必买</x:v>
      </x:c>
      <x:c r="D31" s="52" t="str">
        <x:v>防水记号笔</x:v>
      </x:c>
      <x:c r="E31" s="53" t="str">
        <x:v>细头或双头</x:v>
      </x:c>
      <x:c r="F31" s="51" t="n">
        <x:v>2</x:v>
      </x:c>
      <x:c r="G31" s="54" t="n">
        <x:v>2</x:v>
      </x:c>
      <x:c r="H31" s="51" t="str">
        <x:v>支</x:v>
      </x:c>
      <x:c r="I31" s="55"/>
      <x:c r="J31" s="56" t="str">
        <x:f>IF(OR(I31="",NOT(ISNUMBER(I31))),"",G31*I31)</x:f>
      </x:c>
      <x:c r="K31" s="51" t="str">
        <x:v>未下单</x:v>
      </x:c>
      <x:c r="L31" s="53" t="str">
        <x:v>标记传感器、容器和点位。</x:v>
      </x:c>
    </x:row>
    <x:row r="32" ht="34" customHeight="1">
      <x:c r="A32" s="51" t="n">
        <x:v>24</x:v>
      </x:c>
      <x:c r="B32" s="51" t="str">
        <x:v>校准</x:v>
      </x:c>
      <x:c r="C32" s="51" t="str">
        <x:v>可选</x:v>
      </x:c>
      <x:c r="D32" s="52" t="str">
        <x:v>电子秤</x:v>
      </x:c>
      <x:c r="E32" s="53" t="str">
        <x:v>称重实验用，0.1 g 或 1 g 分度值按方案确定</x:v>
      </x:c>
      <x:c r="F32" s="51" t="n">
        <x:v>1</x:v>
      </x:c>
      <x:c r="G32" s="54" t="n">
        <x:v>0</x:v>
      </x:c>
      <x:c r="H32" s="51" t="str">
        <x:v>台</x:v>
      </x:c>
      <x:c r="I32" s="55"/>
      <x:c r="J32" s="56" t="str">
        <x:f>IF(OR(I32="",NOT(ISNUMBER(I32))),"",G32*I32)</x:f>
      </x:c>
      <x:c r="K32" s="51" t="str">
        <x:v>暂缓</x:v>
      </x:c>
      <x:c r="L32" s="53" t="str">
        <x:v>只有做称重法参考实验时再购买。</x:v>
      </x:c>
    </x:row>
    <x:row r="33" ht="34" customHeight="1">
      <x:c r="A33" s="51" t="n">
        <x:v>25</x:v>
      </x:c>
      <x:c r="B33" s="51" t="str">
        <x:v>采集</x:v>
      </x:c>
      <x:c r="C33" s="51" t="str">
        <x:v>可选</x:v>
      </x:c>
      <x:c r="D33" s="52" t="str">
        <x:v>四通道外置 ADC</x:v>
      </x:c>
      <x:c r="E33" s="53" t="str">
        <x:v>DFRobot DFR0553 / ADS1115，3.3 V，4 通道</x:v>
      </x:c>
      <x:c r="F33" s="51" t="n">
        <x:v>1</x:v>
      </x:c>
      <x:c r="G33" s="54" t="n">
        <x:v>0</x:v>
      </x:c>
      <x:c r="H33" s="51" t="str">
        <x:v>块</x:v>
      </x:c>
      <x:c r="I33" s="55"/>
      <x:c r="J33" s="56" t="str">
        <x:f>IF(OR(I33="",NOT(ISNUMBER(I33))),"",G33*I33)</x:f>
      </x:c>
      <x:c r="K33" s="51" t="str">
        <x:v>暂缓</x:v>
      </x:c>
      <x:c r="L33" s="53" t="str">
        <x:v>先用 ESP32 四路 ADC；发现噪声或一致性问题再加。</x:v>
      </x:c>
    </x:row>
    <x:row r="34" ht="34" customHeight="1">
      <x:c r="A34" s="51" t="n">
        <x:v>26</x:v>
      </x:c>
      <x:c r="B34" s="51" t="str">
        <x:v>收纳</x:v>
      </x:c>
      <x:c r="C34" s="51" t="str">
        <x:v>可选</x:v>
      </x:c>
      <x:c r="D34" s="52" t="str">
        <x:v>电子元件收纳盒</x:v>
      </x:c>
      <x:c r="E34" s="53" t="str">
        <x:v>可分格收纳</x:v>
      </x:c>
      <x:c r="F34" s="51" t="n">
        <x:v>1</x:v>
      </x:c>
      <x:c r="G34" s="54" t="n">
        <x:v>0</x:v>
      </x:c>
      <x:c r="H34" s="51" t="str">
        <x:v>个</x:v>
      </x:c>
      <x:c r="I34" s="55"/>
      <x:c r="J34" s="56" t="str">
        <x:f>IF(OR(I34="",NOT(ISNUMBER(I34))),"",G34*I34)</x:f>
      </x:c>
      <x:c r="K34" s="51" t="str">
        <x:v>暂缓</x:v>
      </x:c>
      <x:c r="L34" s="53" t="str">
        <x:v>保存备用线和小零件。</x:v>
      </x:c>
    </x:row>
    <x:row r="35" ht="34" customHeight="1">
      <x:c r="A35" s="51" t="n">
        <x:v>27</x:v>
      </x:c>
      <x:c r="B35" s="51" t="str">
        <x:v>校准</x:v>
      </x:c>
      <x:c r="C35" s="51" t="str">
        <x:v>可选</x:v>
      </x:c>
      <x:c r="D35" s="52" t="str">
        <x:v>蒸馏水</x:v>
      </x:c>
      <x:c r="E35" s="53" t="str">
        <x:v>小瓶装</x:v>
      </x:c>
      <x:c r="F35" s="51" t="n">
        <x:v>1</x:v>
      </x:c>
      <x:c r="G35" s="54" t="n">
        <x:v>0</x:v>
      </x:c>
      <x:c r="H35" s="51" t="str">
        <x:v>瓶</x:v>
      </x:c>
      <x:c r="I35" s="55"/>
      <x:c r="J35" s="56" t="str">
        <x:f>IF(OR(I35="",NOT(ISNUMBER(I35))),"",G35*I35)</x:f>
      </x:c>
      <x:c r="K35" s="51" t="str">
        <x:v>暂缓</x:v>
      </x:c>
      <x:c r="L35" s="53" t="str">
        <x:v>仅用于可重复的简单对照，不等于实验室校准。</x:v>
      </x:c>
    </x:row>
    <x:row r="36">
      <x:c r="A36" s="32"/>
      <x:c r="B36" s="32"/>
      <x:c r="C36" s="32"/>
      <x:c r="D36" s="32"/>
      <x:c r="E36" s="32"/>
      <x:c r="F36" s="32"/>
      <x:c r="G36" s="32"/>
      <x:c r="H36" s="32"/>
      <x:c r="I36" s="32"/>
      <x:c r="J36" s="32"/>
      <x:c r="K36" s="32"/>
      <x:c r="L36" s="32"/>
    </x:row>
    <x:row r="37">
      <x:c r="A37" s="32"/>
      <x:c r="B37" s="32"/>
      <x:c r="C37" s="32"/>
      <x:c r="D37" s="32"/>
      <x:c r="E37" s="32"/>
      <x:c r="F37" s="32"/>
      <x:c r="G37" s="32"/>
      <x:c r="H37" s="32"/>
      <x:c r="I37" s="32"/>
      <x:c r="J37" s="32"/>
      <x:c r="K37" s="32"/>
      <x:c r="L37" s="32"/>
    </x:row>
    <x:row r="38" ht="28" customHeight="1">
      <x:c r="A38" s="68" t="str">
        <x:v>不要在第一版购买</x:v>
      </x:c>
      <x:c r="B38" s="69"/>
      <x:c r="C38" s="69"/>
      <x:c r="D38" s="69"/>
      <x:c r="E38" s="69"/>
      <x:c r="F38" s="69"/>
      <x:c r="G38" s="69"/>
      <x:c r="H38" s="69"/>
      <x:c r="I38" s="69"/>
      <x:c r="J38" s="69"/>
      <x:c r="K38" s="69"/>
      <x:c r="L38" s="70"/>
    </x:row>
    <x:row r="39" ht="40" customHeight="1">
      <x:c r="A39" s="71" t="str">
        <x:v>暂缓设备</x:v>
      </x:c>
      <x:c r="B39" s="40" t="str">
        <x:v>空气温湿度、光照、雨滴、风速风向、pH/EC/NPK 多合一探头、水泵、电磁阀、继电器、流量计、RS485 转换器、完整气象站</x:v>
      </x:c>
      <x:c r="C39" s="40"/>
      <x:c r="D39" s="40"/>
      <x:c r="E39" s="40"/>
      <x:c r="F39" s="40"/>
      <x:c r="G39" s="40"/>
      <x:c r="H39" s="40"/>
      <x:c r="I39" s="40"/>
      <x:c r="J39" s="40"/>
      <x:c r="K39" s="40"/>
      <x:c r="L39" s="40"/>
    </x:row>
    <x:row r="40" ht="40" customHeight="1">
      <x:c r="A40" s="71" t="str">
        <x:v>原因</x:v>
      </x:c>
      <x:c r="B40" s="40" t="str">
        <x:v>第一版先完成四点土壤湿度采集、CSV、模型和 Streamlit 展示；天气字段先由 API 提供，不进行自动阀门控制。</x:v>
      </x:c>
      <x:c r="C40" s="40"/>
      <x:c r="D40" s="40"/>
      <x:c r="E40" s="40"/>
      <x:c r="F40" s="40"/>
      <x:c r="G40" s="40"/>
      <x:c r="H40" s="40"/>
      <x:c r="I40" s="40"/>
      <x:c r="J40" s="40"/>
      <x:c r="K40" s="40"/>
      <x:c r="L40" s="40"/>
    </x:row>
  </x:sheetData>
  <x:mergeCells>
    <x:mergeCell ref="B39:L39"/>
    <x:mergeCell ref="B40:L40"/>
  </x:mergeCells>
  <x:conditionalFormatting sqref="K9:K35">
    <x:cfRule type="containsText" dxfId="0" priority="1" operator="containsText" text="已到货"/>
    <x:cfRule type="containsText" dxfId="1" priority="2" operator="containsText" text="未下单"/>
    <x:cfRule type="containsText" dxfId="2" priority="3" operator="containsText" text="暂缓"/>
  </x:conditionalFormatting>
  <x:conditionalFormatting sqref="C9:C35">
    <x:cfRule type="containsText" dxfId="3" priority="4" operator="containsText" text="必买"/>
    <x:cfRule type="containsText" dxfId="4" priority="5" operator="containsText" text="建议"/>
  </x:conditionalFormatting>
  <x:dataValidations count="2">
    <x:dataValidation type="list" sqref="B4">
      <x:formula1>"DFRobot SEN0193（省钱版）,DFRobot SEN0308（防水版）,通用电容式 V1.2（短期原型）"</x:formula1>
    </x:dataValidation>
    <x:dataValidation type="list" sqref="K9:K35">
      <x:formula1>"未下单,已下单,已到货,已有,暂缓,不需要"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F6690"/>
  </x:sheetPr>
  <x:sheetViews>
    <x:sheetView showGridLines="0" workbookViewId="0"/>
  </x:sheetViews>
  <x:sheetFormatPr defaultRowHeight="15"/>
  <x:cols>
    <x:col min="1" max="1" width="24" hidden="0" customWidth="1"/>
    <x:col min="2" max="2" width="13" hidden="0" customWidth="1"/>
    <x:col min="3" max="3" width="16" hidden="0" customWidth="1"/>
    <x:col min="4" max="4" width="16" hidden="0" customWidth="1"/>
    <x:col min="5" max="5" width="28" hidden="0" customWidth="1"/>
    <x:col min="6" max="6" width="28" hidden="0" customWidth="1"/>
    <x:col min="7" max="7" width="12" hidden="0" customWidth="1"/>
    <x:col min="8" max="8" width="30" hidden="0" customWidth="1"/>
    <x:col min="9" max="9" width="30" hidden="0" customWidth="1"/>
    <x:col min="10" max="10" width="30" hidden="0" customWidth="1"/>
  </x:cols>
  <x:sheetData>
    <x:row r="2">
      <x:c r="A2" s="1" t="str">
        <x:v>土壤湿度探头方案对比</x:v>
      </x:c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</x:row>
    <x:row r="5" ht="30" customHeight="1">
      <x:c r="A5" s="28" t="str">
        <x:v>型号</x:v>
      </x:c>
      <x:c r="B5" s="28" t="str">
        <x:v>类型</x:v>
      </x:c>
      <x:c r="C5" s="28" t="str">
        <x:v>供电</x:v>
      </x:c>
      <x:c r="D5" s="28" t="str">
        <x:v>输出</x:v>
      </x:c>
      <x:c r="E5" s="28" t="str">
        <x:v>防护</x:v>
      </x:c>
      <x:c r="F5" s="28" t="str">
        <x:v>采样机制</x:v>
      </x:c>
      <x:c r="G5" s="28" t="str">
        <x:v>建议购买量</x:v>
      </x:c>
      <x:c r="H5" s="28" t="str">
        <x:v>适用场景</x:v>
      </x:c>
      <x:c r="I5" s="28" t="str">
        <x:v>主要风险</x:v>
      </x:c>
      <x:c r="J5" s="28" t="str">
        <x:v>结论</x:v>
      </x:c>
    </x:row>
    <x:row r="6" ht="64" customHeight="1">
      <x:c r="A6" s="47" t="str">
        <x:v>DFRobot SEN0193</x:v>
      </x:c>
      <x:c r="B6" s="47" t="str">
        <x:v>电容式</x:v>
      </x:c>
      <x:c r="C6" s="73" t="str">
        <x:v>3.3–5.5 V</x:v>
      </x:c>
      <x:c r="D6" s="73" t="str">
        <x:v>0–3.0 V 模拟</x:v>
      </x:c>
      <x:c r="E6" s="73" t="str">
        <x:v>探测部分耐腐蚀；顶部元件不防水</x:v>
      </x:c>
      <x:c r="F6" s="73" t="str">
        <x:v>模拟输出；读取间隔由 ESP32 程序决定</x:v>
      </x:c>
      <x:c r="G6" s="73" t="n">
        <x:v>4</x:v>
      </x:c>
      <x:c r="H6" s="47" t="str">
        <x:v>室内、花盆、短期实验</x:v>
      </x:c>
      <x:c r="I6" s="47" t="str">
        <x:v>不可超过警戒线；需要逐支校准</x:v>
      </x:c>
      <x:c r="J6" s="75" t="str">
        <x:v>默认省钱方案</x:v>
      </x:c>
    </x:row>
    <x:row r="7" ht="64" customHeight="1">
      <x:c r="A7" s="53" t="str">
        <x:v>DFRobot SEN0308</x:v>
      </x:c>
      <x:c r="B7" s="53" t="str">
        <x:v>电容式</x:v>
      </x:c>
      <x:c r="C7" s="74" t="str">
        <x:v>3.3–5.5 V</x:v>
      </x:c>
      <x:c r="D7" s="74" t="str">
        <x:v>模拟输出，官方页面标称约 0–3 V</x:v>
      </x:c>
      <x:c r="E7" s="74" t="str">
        <x:v>全身灌封，面向防水使用</x:v>
      </x:c>
      <x:c r="F7" s="74" t="str">
        <x:v>模拟输出；读取间隔由 ESP32 程序决定</x:v>
      </x:c>
      <x:c r="G7" s="74" t="n">
        <x:v>4</x:v>
      </x:c>
      <x:c r="H7" s="53" t="str">
        <x:v>室外、可能淋水、较长期布置</x:v>
      </x:c>
      <x:c r="I7" s="53" t="str">
        <x:v>价格较高；仍需逐支校准</x:v>
      </x:c>
      <x:c r="J7" s="76" t="str">
        <x:v>耐用优先方案</x:v>
      </x:c>
    </x:row>
    <x:row r="8" ht="64" customHeight="1">
      <x:c r="A8" s="53" t="str">
        <x:v>通用电容式 V1.2</x:v>
      </x:c>
      <x:c r="B8" s="53" t="str">
        <x:v>电容式</x:v>
      </x:c>
      <x:c r="C8" s="74" t="str">
        <x:v>购买前确认 3.3 V</x:v>
      </x:c>
      <x:c r="D8" s="74" t="str">
        <x:v>购买前确认不超过 ESP32 ADC 范围</x:v>
      </x:c>
      <x:c r="E8" s="74" t="str">
        <x:v>通常顶部电路不防水</x:v>
      </x:c>
      <x:c r="F8" s="74" t="str">
        <x:v>取决于实际电路；读取间隔由 ESP32 设置</x:v>
      </x:c>
      <x:c r="G8" s="74" t="n">
        <x:v>6</x:v>
      </x:c>
      <x:c r="H8" s="53" t="str">
        <x:v>非常低成本、短期原型</x:v>
      </x:c>
      <x:c r="I8" s="53" t="str">
        <x:v>批次差异、漂移、防水与参数真实性不确定</x:v>
      </x:c>
      <x:c r="J8" s="77" t="str">
        <x:v>预算极紧时筛选 4 支使用</x:v>
      </x:c>
    </x:row>
    <x:row r="9" ht="64" customHeight="1">
      <x:c r="A9" s="53" t="str">
        <x:v>YL-69 / FC-28 等双叉探头</x:v>
      </x:c>
      <x:c r="B9" s="53" t="str">
        <x:v>电阻式</x:v>
      </x:c>
      <x:c r="C9" s="74" t="str">
        <x:v>型号不一</x:v>
      </x:c>
      <x:c r="D9" s="74" t="str">
        <x:v>通常模拟/数字模块</x:v>
      </x:c>
      <x:c r="E9" s="74" t="str">
        <x:v>裸露电极</x:v>
      </x:c>
      <x:c r="F9" s="74" t="str">
        <x:v>模块决定</x:v>
      </x:c>
      <x:c r="G9" s="74" t="n">
        <x:v>0</x:v>
      </x:c>
      <x:c r="H9" s="53" t="str">
        <x:v>仅临时教学实验</x:v>
      </x:c>
      <x:c r="I9" s="53" t="str">
        <x:v>通电后易电解、腐蚀和漂移</x:v>
      </x:c>
      <x:c r="J9" s="78" t="str">
        <x:v>本项目不建议购买</x:v>
      </x:c>
    </x:row>
    <x:row r="12">
      <x:c r="A12" s="68" t="str">
        <x:v>关于采样频率</x:v>
      </x:c>
      <x:c r="B12" s="69"/>
      <x:c r="C12" s="69"/>
      <x:c r="D12" s="69"/>
      <x:c r="E12" s="69"/>
      <x:c r="F12" s="69"/>
      <x:c r="G12" s="69"/>
      <x:c r="H12" s="69"/>
      <x:c r="I12" s="69"/>
      <x:c r="J12" s="70"/>
    </x:row>
    <x:row r="13" ht="38" customHeight="1">
      <x:c r="A13" s="71" t="str">
        <x:v>结论</x:v>
      </x:c>
      <x:c r="B13" s="40" t="str">
        <x:v>SEN0193 和 SEN0308 均为模拟输出探头。ESP32 使用 analogRead() 主动读取，保存频率由固件设置，不是探头每秒只发送固定次数。</x:v>
      </x:c>
      <x:c r="C13" s="40"/>
      <x:c r="D13" s="40"/>
      <x:c r="E13" s="40"/>
      <x:c r="F13" s="40"/>
      <x:c r="G13" s="40"/>
      <x:c r="H13" s="40"/>
      <x:c r="I13" s="40"/>
      <x:c r="J13" s="40"/>
    </x:row>
    <x:row r="14" ht="38" customHeight="1">
      <x:c r="A14" s="71" t="str">
        <x:v>Demo 建议</x:v>
      </x:c>
      <x:c r="B14" s="40" t="str">
        <x:v>每个通道在 100–500 ms 内连续读取 10–20 次并求平均；界面或 CSV 可每 1 秒记录一次。</x:v>
      </x:c>
      <x:c r="C14" s="40"/>
      <x:c r="D14" s="40"/>
      <x:c r="E14" s="40"/>
      <x:c r="F14" s="40"/>
      <x:c r="G14" s="40"/>
      <x:c r="H14" s="40"/>
      <x:c r="I14" s="40"/>
      <x:c r="J14" s="40"/>
    </x:row>
    <x:row r="15" ht="38" customHeight="1">
      <x:c r="A15" s="71" t="str">
        <x:v>实验建议</x:v>
      </x:c>
      <x:c r="B15" s="40" t="str">
        <x:v>真实部署的记录间隔需要写入实验方案。土壤水分变化较慢，不应只为提高数据量而高频保存重复读数。</x:v>
      </x:c>
      <x:c r="C15" s="40"/>
      <x:c r="D15" s="40"/>
      <x:c r="E15" s="40"/>
      <x:c r="F15" s="40"/>
      <x:c r="G15" s="40"/>
      <x:c r="H15" s="40"/>
      <x:c r="I15" s="40"/>
      <x:c r="J15" s="40"/>
    </x:row>
    <x:row r="16" ht="38" customHeight="1">
      <x:c r="A16" s="71" t="str">
        <x:v>时间字段</x:v>
      </x:c>
      <x:c r="B16" s="40" t="str">
        <x:v>探头不生成时间。ESP32 提供 device_ms，电脑端 Python 添加 timestamp_utc；两者含义需要在数据说明中保留。</x:v>
      </x:c>
      <x:c r="C16" s="40"/>
      <x:c r="D16" s="40"/>
      <x:c r="E16" s="40"/>
      <x:c r="F16" s="40"/>
      <x:c r="G16" s="40"/>
      <x:c r="H16" s="40"/>
      <x:c r="I16" s="40"/>
      <x:c r="J16" s="40"/>
    </x:row>
    <x:row r="19">
      <x:c r="A19" s="59" t="str">
        <x:v>官方资料</x:v>
      </x:c>
      <x:c r="B19" s="60"/>
      <x:c r="C19" s="60"/>
      <x:c r="D19" s="60"/>
      <x:c r="E19" s="60"/>
      <x:c r="F19" s="60"/>
      <x:c r="G19" s="60"/>
      <x:c r="H19" s="60"/>
      <x:c r="I19" s="60"/>
      <x:c r="J19" s="61"/>
    </x:row>
    <x:row r="20" ht="40" customHeight="1">
      <x:c r="A20" s="28" t="str">
        <x:v>资料</x:v>
      </x:c>
      <x:c r="B20" s="28" t="str">
        <x:v>URL</x:v>
      </x:c>
      <x:c r="C20" s="28"/>
      <x:c r="D20" s="28"/>
      <x:c r="E20" s="28"/>
      <x:c r="F20" s="28"/>
      <x:c r="G20" s="28"/>
      <x:c r="H20" s="28"/>
      <x:c r="I20" s="28"/>
      <x:c r="J20" s="28" t="str">
        <x:v>用于确认</x:v>
      </x:c>
    </x:row>
    <x:row r="21" ht="40" customHeight="1">
      <x:c r="A21" s="46" t="str">
        <x:v>DFRobot SEN0193 官方资料</x:v>
      </x:c>
      <x:c r="B21" s="81" t="str">
        <x:v>https://wiki.dfrobot.com.cn/_SKU_SEN0193__%E7%94%B5%E5%AE%B9%E5%BC%8F%E5%9C%9F%E5%A3%A4%E6%B9%BF%E5%BA%A6%E4%BC%A0%E6%84%9F%E5%99%A8</x:v>
      </x:c>
      <x:c r="C21" s="81"/>
      <x:c r="D21" s="81"/>
      <x:c r="E21" s="81"/>
      <x:c r="F21" s="81"/>
      <x:c r="G21" s="81"/>
      <x:c r="H21" s="81"/>
      <x:c r="I21" s="81"/>
      <x:c r="J21" s="46" t="str">
        <x:v>供电、输出、接口、校准和防水边界</x:v>
      </x:c>
    </x:row>
    <x:row r="22" ht="40" customHeight="1">
      <x:c r="A22" s="52" t="str">
        <x:v>DFRobot SEN0308 官方资料</x:v>
      </x:c>
      <x:c r="B22" s="82" t="str">
        <x:v>https://wiki.dfrobot.com.cn/_SKU_SEN0308_Gravity_%E6%A8%A1%E6%8B%9F%E9%98%B2%E6%B0%B4%E5%9C%9F%E5%A3%A4%E6%B9%BF%E5%BA%A6%E4%BC%A0%E6%84%9F%E5%99%A8</x:v>
      </x:c>
      <x:c r="C22" s="82"/>
      <x:c r="D22" s="82"/>
      <x:c r="E22" s="82"/>
      <x:c r="F22" s="82"/>
      <x:c r="G22" s="82"/>
      <x:c r="H22" s="82"/>
      <x:c r="I22" s="82"/>
      <x:c r="J22" s="52" t="str">
        <x:v>供电、模拟输出和防水结构</x:v>
      </x:c>
    </x:row>
    <x:row r="23" ht="40" customHeight="1">
      <x:c r="A23" s="52" t="str">
        <x:v>Espressif ESP32-DevKitC 官方说明</x:v>
      </x:c>
      <x:c r="B23" s="82" t="str">
        <x:v>https://docs.espressif.com/projects/esp-dev-kits/en/latest/esp32/esp32-devkitc/user_guide.html</x:v>
      </x:c>
      <x:c r="C23" s="82"/>
      <x:c r="D23" s="82"/>
      <x:c r="E23" s="82"/>
      <x:c r="F23" s="82"/>
      <x:c r="G23" s="82"/>
      <x:c r="H23" s="82"/>
      <x:c r="I23" s="82"/>
      <x:c r="J23" s="52" t="str">
        <x:v>开发板引脚与 ADC1 通道</x:v>
      </x:c>
    </x:row>
  </x:sheetData>
  <x:mergeCells>
    <x:mergeCell ref="B13:J13"/>
    <x:mergeCell ref="B14:J14"/>
    <x:mergeCell ref="B15:J15"/>
    <x:mergeCell ref="B16:J16"/>
    <x:mergeCell ref="B20:I20"/>
    <x:mergeCell ref="B21:I21"/>
    <x:mergeCell ref="B22:I22"/>
    <x:mergeCell ref="B23:I2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6B8E78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2" hidden="0" customWidth="1"/>
    <x:col min="2" max="2" width="42" hidden="0" customWidth="1"/>
    <x:col min="3" max="3" width="14" hidden="0" customWidth="1"/>
    <x:col min="4" max="4" width="32" hidden="0" customWidth="1"/>
    <x:col min="5" max="5" width="22" hidden="0" customWidth="1"/>
    <x:col min="6" max="6" width="30" hidden="0" customWidth="1"/>
    <x:col min="7" max="7" width="34" hidden="0" customWidth="1"/>
    <x:col min="8" max="8" width="34" hidden="0" customWidth="1"/>
  </x:cols>
  <x:sheetData>
    <x:row r="2">
      <x:c r="A2" s="1" t="str">
        <x:v>接线分配与下单前确认</x:v>
      </x:c>
    </x:row>
    <x:row r="3">
      <x:c r="A3" s="2"/>
      <x:c r="B3" s="2"/>
      <x:c r="C3" s="2"/>
      <x:c r="D3" s="2"/>
      <x:c r="E3" s="2"/>
      <x:c r="F3" s="2"/>
      <x:c r="G3" s="2"/>
      <x:c r="H3" s="2"/>
    </x:row>
    <x:row r="5">
      <x:c r="A5" s="59" t="str">
        <x:v>四路 ADC 分配</x:v>
      </x:c>
      <x:c r="B5" s="60"/>
      <x:c r="C5" s="60"/>
      <x:c r="D5" s="60"/>
      <x:c r="E5" s="60"/>
      <x:c r="F5" s="60"/>
      <x:c r="G5" s="60"/>
      <x:c r="H5" s="61"/>
    </x:row>
    <x:row r="6" ht="30" customHeight="1">
      <x:c r="A6" s="28" t="str">
        <x:v>探头编号</x:v>
      </x:c>
      <x:c r="B6" s="28" t="str">
        <x:v>ESP32 引脚</x:v>
      </x:c>
      <x:c r="C6" s="28" t="str">
        <x:v>供电</x:v>
      </x:c>
      <x:c r="D6" s="28" t="str">
        <x:v>地线</x:v>
      </x:c>
      <x:c r="E6" s="28" t="str">
        <x:v>建议数据字段</x:v>
      </x:c>
      <x:c r="F6" s="28" t="str">
        <x:v>备注</x:v>
      </x:c>
    </x:row>
    <x:row r="7">
      <x:c r="A7" s="45" t="str">
        <x:v>soil_01</x:v>
      </x:c>
      <x:c r="B7" s="45" t="str">
        <x:v>GPIO32</x:v>
      </x:c>
      <x:c r="C7" s="45" t="str">
        <x:v>3V3</x:v>
      </x:c>
      <x:c r="D7" s="45" t="str">
        <x:v>GND</x:v>
      </x:c>
      <x:c r="E7" s="45" t="str">
        <x:v>soil_01_raw</x:v>
      </x:c>
      <x:c r="F7" s="45" t="str">
        <x:v>ADC1</x:v>
      </x:c>
    </x:row>
    <x:row r="8">
      <x:c r="A8" s="51" t="str">
        <x:v>soil_02</x:v>
      </x:c>
      <x:c r="B8" s="51" t="str">
        <x:v>GPIO33</x:v>
      </x:c>
      <x:c r="C8" s="51" t="str">
        <x:v>3V3</x:v>
      </x:c>
      <x:c r="D8" s="51" t="str">
        <x:v>GND</x:v>
      </x:c>
      <x:c r="E8" s="51" t="str">
        <x:v>soil_02_raw</x:v>
      </x:c>
      <x:c r="F8" s="51" t="str">
        <x:v>ADC1</x:v>
      </x:c>
    </x:row>
    <x:row r="9">
      <x:c r="A9" s="51" t="str">
        <x:v>soil_03</x:v>
      </x:c>
      <x:c r="B9" s="51" t="str">
        <x:v>GPIO34</x:v>
      </x:c>
      <x:c r="C9" s="51" t="str">
        <x:v>3V3</x:v>
      </x:c>
      <x:c r="D9" s="51" t="str">
        <x:v>GND</x:v>
      </x:c>
      <x:c r="E9" s="51" t="str">
        <x:v>soil_03_raw</x:v>
      </x:c>
      <x:c r="F9" s="51" t="str">
        <x:v>GPIO34 仅输入，适合模拟采集</x:v>
      </x:c>
    </x:row>
    <x:row r="10">
      <x:c r="A10" s="51" t="str">
        <x:v>soil_04</x:v>
      </x:c>
      <x:c r="B10" s="51" t="str">
        <x:v>GPIO35</x:v>
      </x:c>
      <x:c r="C10" s="51" t="str">
        <x:v>3V3</x:v>
      </x:c>
      <x:c r="D10" s="51" t="str">
        <x:v>GND</x:v>
      </x:c>
      <x:c r="E10" s="51" t="str">
        <x:v>soil_04_raw</x:v>
      </x:c>
      <x:c r="F10" s="51" t="str">
        <x:v>GPIO35 仅输入，适合模拟采集</x:v>
      </x:c>
    </x:row>
    <x:row r="12">
      <x:c r="A12" s="84" t="str">
        <x:v>接线参考</x:v>
      </x:c>
      <x:c r="B12" s="37" t="str">
        <x:v>必须以实际商品标签和卖家资料为准</x:v>
      </x:c>
    </x:row>
    <x:row r="13">
      <x:c r="A13" s="71" t="str">
        <x:v>红线</x:v>
      </x:c>
      <x:c r="B13" s="36" t="str">
        <x:v>VCC / 3V3</x:v>
      </x:c>
    </x:row>
    <x:row r="14">
      <x:c r="A14" s="71" t="str">
        <x:v>黑线</x:v>
      </x:c>
      <x:c r="B14" s="36" t="str">
        <x:v>GND</x:v>
      </x:c>
    </x:row>
    <x:row r="15">
      <x:c r="A15" s="71" t="str">
        <x:v>黄线</x:v>
      </x:c>
      <x:c r="B15" s="36" t="str">
        <x:v>SIG / 模拟输出</x:v>
      </x:c>
    </x:row>
    <x:row r="18">
      <x:c r="A18" s="59" t="str">
        <x:v>下单前确认清单</x:v>
      </x:c>
      <x:c r="B18" s="60"/>
      <x:c r="C18" s="60"/>
      <x:c r="D18" s="60"/>
      <x:c r="E18" s="60"/>
      <x:c r="F18" s="59" t="str">
        <x:v>采集与校准提醒</x:v>
      </x:c>
      <x:c r="G18" s="60"/>
      <x:c r="H18" s="61"/>
    </x:row>
    <x:row r="19">
      <x:c r="A19" s="28" t="str">
        <x:v>序号</x:v>
      </x:c>
      <x:c r="B19" s="28" t="str">
        <x:v>确认事项</x:v>
      </x:c>
      <x:c r="C19" s="28" t="str">
        <x:v>状态</x:v>
      </x:c>
      <x:c r="D19" s="28" t="str">
        <x:v>记录</x:v>
      </x:c>
      <x:c r="F19" s="28" t="str">
        <x:v>项目</x:v>
      </x:c>
      <x:c r="G19" s="28" t="str">
        <x:v>建议</x:v>
      </x:c>
      <x:c r="H19" s="28" t="str">
        <x:v>原因</x:v>
      </x:c>
    </x:row>
    <x:row r="20" ht="34" customHeight="1">
      <x:c r="A20" s="73" t="n">
        <x:v>1</x:v>
      </x:c>
      <x:c r="B20" s="47" t="str">
        <x:v>四支探头是否为同型号、尽量同一批次</x:v>
      </x:c>
      <x:c r="C20" s="45" t="str">
        <x:v>待确认</x:v>
      </x:c>
      <x:c r="D20" s="85" t="str"/>
      <x:c r="F20" s="47" t="str">
        <x:v>单次采集</x:v>
      </x:c>
      <x:c r="G20" s="47" t="str">
        <x:v>每路连续读取 10–20 次后求平均</x:v>
      </x:c>
      <x:c r="H20" s="47" t="str">
        <x:v>降低瞬时 ADC 噪声</x:v>
      </x:c>
    </x:row>
    <x:row r="21" ht="34" customHeight="1">
      <x:c r="A21" s="74" t="n">
        <x:v>2</x:v>
      </x:c>
      <x:c r="B21" s="53" t="str">
        <x:v>探头是否包含连接线；接口究竟是 PH2.0-3P 还是 2.54 mm 母头</x:v>
      </x:c>
      <x:c r="C21" s="51" t="str">
        <x:v>待确认</x:v>
      </x:c>
      <x:c r="D21" s="86" t="str"/>
      <x:c r="F21" s="53" t="str">
        <x:v>CSV 记录</x:v>
      </x:c>
      <x:c r="G21" s="53" t="str">
        <x:v>Demo 可每 1 秒记录一次</x:v>
      </x:c>
      <x:c r="H21" s="53" t="str">
        <x:v>频率由固件决定，不是探头固定发送频率</x:v>
      </x:c>
    </x:row>
    <x:row r="22" ht="34" customHeight="1">
      <x:c r="A22" s="74" t="n">
        <x:v>3</x:v>
      </x:c>
      <x:c r="B22" s="53" t="str">
        <x:v>ESP32 是 30 针还是 38 针；USB 是 Type-C 还是 Micro-USB</x:v>
      </x:c>
      <x:c r="C22" s="51" t="str">
        <x:v>待确认</x:v>
      </x:c>
      <x:c r="D22" s="86" t="str"/>
      <x:c r="F22" s="53" t="str">
        <x:v>真实实验</x:v>
      </x:c>
      <x:c r="G22" s="53" t="str">
        <x:v>记录间隔写入实验方案</x:v>
      </x:c>
      <x:c r="H22" s="53" t="str">
        <x:v>避免高频重复数据掩盖真实变化</x:v>
      </x:c>
    </x:row>
    <x:row r="23" ht="34" customHeight="1">
      <x:c r="A23" s="74" t="n">
        <x:v>4</x:v>
      </x:c>
      <x:c r="B23" s="53" t="str">
        <x:v>所购 USB 线明确支持数据传输</x:v>
      </x:c>
      <x:c r="C23" s="51" t="str">
        <x:v>待确认</x:v>
      </x:c>
      <x:c r="D23" s="86" t="str"/>
      <x:c r="F23" s="53" t="str">
        <x:v>校准</x:v>
      </x:c>
      <x:c r="G23" s="53" t="str">
        <x:v>四支分别记录干端、湿端和同土样读数</x:v>
      </x:c>
      <x:c r="H23" s="53" t="str">
        <x:v>不同探头不能共用未经验证的标定值</x:v>
      </x:c>
    </x:row>
    <x:row r="24" ht="34" customHeight="1">
      <x:c r="A24" s="74" t="n">
        <x:v>5</x:v>
      </x:c>
      <x:c r="B24" s="53" t="str">
        <x:v>探头模拟输出最高电压不超过 ESP32 ADC 允许范围</x:v>
      </x:c>
      <x:c r="C24" s="51" t="str">
        <x:v>待确认</x:v>
      </x:c>
      <x:c r="D24" s="86" t="str"/>
      <x:c r="F24" s="53" t="str">
        <x:v>深度</x:v>
      </x:c>
      <x:c r="G24" s="53" t="str">
        <x:v>人工记录 zone_id 与 depth_cm</x:v>
      </x:c>
      <x:c r="H24" s="53" t="str">
        <x:v>探头不会自动测量安装深度</x:v>
      </x:c>
    </x:row>
    <x:row r="25" ht="34" customHeight="1">
      <x:c r="A25" s="74" t="n">
        <x:v>6</x:v>
      </x:c>
      <x:c r="B25" s="53" t="str">
        <x:v>卖家是否明确说明可浸水/可长期埋设的边界</x:v>
      </x:c>
      <x:c r="C25" s="51" t="str">
        <x:v>待确认</x:v>
      </x:c>
      <x:c r="D25" s="86" t="str"/>
      <x:c r="F25" s="53" t="str">
        <x:v>时间</x:v>
      </x:c>
      <x:c r="G25" s="53" t="str">
        <x:v>保留 device_ms 和电脑端 timestamp_utc</x:v>
      </x:c>
      <x:c r="H25" s="53" t="str">
        <x:v>区分设备运行时间与接收时间</x:v>
      </x:c>
    </x:row>
    <x:row r="26" ht="34" customHeight="1">
      <x:c r="A26" s="51" t="n">
        <x:v>7</x:v>
      </x:c>
      <x:c r="B26" s="53" t="str">
        <x:v>防水电缆接头与实际线缆外径匹配</x:v>
      </x:c>
      <x:c r="C26" s="51" t="str">
        <x:v>待确认</x:v>
      </x:c>
      <x:c r="D26" s="86" t="str"/>
    </x:row>
    <x:row r="27" ht="34" customHeight="1">
      <x:c r="A27" s="51" t="n">
        <x:v>8</x:v>
      </x:c>
      <x:c r="B27" s="53" t="str">
        <x:v>扩展板针数与 ESP32 板型一致</x:v>
      </x:c>
      <x:c r="C27" s="51" t="str">
        <x:v>待确认</x:v>
      </x:c>
      <x:c r="D27" s="86" t="str"/>
    </x:row>
    <x:row r="28" ht="34" customHeight="1">
      <x:c r="A28" s="51" t="n">
        <x:v>9</x:v>
      </x:c>
      <x:c r="B28" s="53" t="str">
        <x:v>四个点位、安装深度和编号已经确定</x:v>
      </x:c>
      <x:c r="C28" s="51" t="str">
        <x:v>待确认</x:v>
      </x:c>
      <x:c r="D28" s="86" t="str"/>
    </x:row>
    <x:row r="29" ht="34" customHeight="1">
      <x:c r="A29" s="51" t="n">
        <x:v>10</x:v>
      </x:c>
      <x:c r="B29" s="53" t="str">
        <x:v>采购后预留时间完成四支探头的并排一致性测试</x:v>
      </x:c>
      <x:c r="C29" s="51" t="str">
        <x:v>待确认</x:v>
      </x:c>
      <x:c r="D29" s="86" t="str"/>
    </x:row>
  </x:sheetData>
  <x:conditionalFormatting sqref="C20:C29">
    <x:cfRule type="containsText" dxfId="5" priority="1" operator="containsText" text="已确认"/>
    <x:cfRule type="containsText" dxfId="6" priority="2" operator="containsText" text="待确认"/>
  </x:conditionalFormatting>
  <x:dataValidations count="1">
    <x:dataValidation type="list" sqref="C20:C29">
      <x:formula1>"待确认,已确认,不适用"</x:formula1>
    </x:dataValidation>
  </x:dataValidations>
  <x:pageMargins left="0.7" right="0.7" top="0.75" bottom="0.75" header="0.3" footer="0.3"/>
</x:worksheet>
</file>